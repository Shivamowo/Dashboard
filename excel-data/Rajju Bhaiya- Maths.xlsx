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 Details" sheetId="1" r:id="rId4"/>
    <sheet state="visible" name="Program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xSnQaAxTy0obSe1/arVS6YyRrBf2fhPPPHYHNjAvGBU="/>
    </ext>
  </extLst>
</workbook>
</file>

<file path=xl/sharedStrings.xml><?xml version="1.0" encoding="utf-8"?>
<sst xmlns="http://schemas.openxmlformats.org/spreadsheetml/2006/main" count="452" uniqueCount="223">
  <si>
    <t>Name of Department - Mathematics</t>
  </si>
  <si>
    <t>Name of Department</t>
  </si>
  <si>
    <t>Name of Faculty</t>
  </si>
  <si>
    <t>Prof. Mithilesh Singh</t>
  </si>
  <si>
    <t>DEPARTMENT PERFORMANCE DATA – HoD SUBMISSION FORMAT</t>
  </si>
  <si>
    <t>Name of HoD</t>
  </si>
  <si>
    <t>Veer Bahadur Singh Purvanchal University, Jaunpur | Standardised Department Data Collection</t>
  </si>
  <si>
    <t>Current Weekly Working Hours / Room</t>
  </si>
  <si>
    <t>Name of Director</t>
  </si>
  <si>
    <t>Date of Submission</t>
  </si>
  <si>
    <t>Department Information</t>
  </si>
  <si>
    <t>Reporting Period</t>
  </si>
  <si>
    <t>S.No</t>
  </si>
  <si>
    <t>Lab / Classroom Name</t>
  </si>
  <si>
    <t>Floor &amp; Room No.</t>
  </si>
  <si>
    <t>Academic Years 2023-24 to 2026-27 (up to date of submission)</t>
  </si>
  <si>
    <t>Hours Allotted / Week</t>
  </si>
  <si>
    <t>Lab / Room In-charge</t>
  </si>
  <si>
    <t>Lab Assistant / Support Staff</t>
  </si>
  <si>
    <t>Student Capacity</t>
  </si>
  <si>
    <t>Name of the Programme</t>
  </si>
  <si>
    <t>Major Equipment / Computers Available</t>
  </si>
  <si>
    <t>Year of Commencement</t>
  </si>
  <si>
    <t>Programme(s) / Courses Using Facility</t>
  </si>
  <si>
    <t>Mode of Programme</t>
  </si>
  <si>
    <t>Utilisation (%)</t>
  </si>
  <si>
    <t>Digital Smart Board</t>
  </si>
  <si>
    <t>Sanctioned Faculty Positions</t>
  </si>
  <si>
    <t>Projector</t>
  </si>
  <si>
    <t>Semester Fee / Student (₹)</t>
  </si>
  <si>
    <t>Mathematics</t>
  </si>
  <si>
    <t>Sanctioned Student Intake</t>
  </si>
  <si>
    <t>Students Admitted</t>
  </si>
  <si>
    <t>Syllabus / Curriculum Provisions</t>
  </si>
  <si>
    <t>Classroom</t>
  </si>
  <si>
    <t>Name of Faculty Member</t>
  </si>
  <si>
    <t>LH-201 (Second Floor)</t>
  </si>
  <si>
    <t>Designation</t>
  </si>
  <si>
    <t>Appointment Type</t>
  </si>
  <si>
    <t>HOD</t>
  </si>
  <si>
    <t>NA</t>
  </si>
  <si>
    <t>Date of Joining</t>
  </si>
  <si>
    <t>Professor</t>
  </si>
  <si>
    <t>Mobile / Contact No.</t>
  </si>
  <si>
    <t>GREEN BOARD</t>
  </si>
  <si>
    <t>Associate Professor</t>
  </si>
  <si>
    <t>PhD</t>
  </si>
  <si>
    <t>Assistant Professor</t>
  </si>
  <si>
    <t>2024</t>
  </si>
  <si>
    <t>Programme(s) for which Appointed</t>
  </si>
  <si>
    <t>2025</t>
  </si>
  <si>
    <t>2026</t>
  </si>
  <si>
    <t>Teaching &amp; Responsibility</t>
  </si>
  <si>
    <t>No</t>
  </si>
  <si>
    <t>Yes</t>
  </si>
  <si>
    <t>Research Publications</t>
  </si>
  <si>
    <t>NEP Aligned</t>
  </si>
  <si>
    <t>Multiple Entry/Exit</t>
  </si>
  <si>
    <t>Internship at End of Every Year</t>
  </si>
  <si>
    <t>Citation Performance</t>
  </si>
  <si>
    <t>Instructions to HoD</t>
  </si>
  <si>
    <t>Minor / Specialisation Available</t>
  </si>
  <si>
    <t>LH-205 (Second Floor)</t>
  </si>
  <si>
    <t>Remarks</t>
  </si>
  <si>
    <t>Research Profile</t>
  </si>
  <si>
    <t>Patents</t>
  </si>
  <si>
    <t>1. Fill all applicable fields in the three reporting sheets. Do not leave cells blank where the information is available.</t>
  </si>
  <si>
    <t>Sponsored / Research Projects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</si>
  <si>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</si>
  <si>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</si>
  <si>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4. For infrastructure, report actual weekly allocation/utilisation as per the current timetable.</t>
  </si>
  <si>
    <t>PhD Supervision</t>
  </si>
  <si>
    <t>LAB</t>
  </si>
  <si>
    <t>First floor</t>
  </si>
  <si>
    <t>5. Use 'NA' only where a field is genuinely not applicable; use 0 for a valid nil numerical value.</t>
  </si>
  <si>
    <t>DR. DEEPAK KUMAR MAURYA</t>
  </si>
  <si>
    <t>6. The HoD should verify the completeness and correctness of the information before submission.</t>
  </si>
  <si>
    <t>Teaching Load (Hrs/Week)</t>
  </si>
  <si>
    <r>
      <rPr>
        <rFont val="Calibri"/>
        <b/>
        <color rgb="FF1155CC"/>
        <sz val="12.0"/>
        <u/>
      </rPr>
      <t>B.Sc</t>
    </r>
    <r>
      <rPr>
        <rFont val="Calibri"/>
        <b/>
        <color rgb="FF1155CC"/>
        <sz val="12.0"/>
        <u/>
      </rPr>
      <t>., &amp; Mathematics</t>
    </r>
  </si>
  <si>
    <t>Additional Responsibility</t>
  </si>
  <si>
    <t>Department-level Snapshot (auto-calculated from reporting sheets)</t>
  </si>
  <si>
    <t>Journal Publications</t>
  </si>
  <si>
    <t>Conference Publications</t>
  </si>
  <si>
    <r>
      <rPr>
        <rFont val="Calibri"/>
        <color rgb="FF1155CC"/>
        <sz val="12.0"/>
        <u/>
      </rPr>
      <t>M.Sc</t>
    </r>
    <r>
      <rPr>
        <rFont val="Calibri"/>
        <color theme="1"/>
        <sz val="12.0"/>
      </rPr>
      <t>.(Mathematics)</t>
    </r>
  </si>
  <si>
    <t>Indicator</t>
  </si>
  <si>
    <t>H-Index</t>
  </si>
  <si>
    <t>i10-Index</t>
  </si>
  <si>
    <t>Google Scholar / ORCID Link</t>
  </si>
  <si>
    <t>Filed</t>
  </si>
  <si>
    <t>Published</t>
  </si>
  <si>
    <t>Reported Value</t>
  </si>
  <si>
    <t>LH-102 (First Floor)</t>
  </si>
  <si>
    <t>Granted</t>
  </si>
  <si>
    <t>Sponsoring Agency</t>
  </si>
  <si>
    <t>Regular</t>
  </si>
  <si>
    <t>Year of Grant</t>
  </si>
  <si>
    <t>No. of Programmes</t>
  </si>
  <si>
    <t>Duration</t>
  </si>
  <si>
    <t>Sanctioned Amount (₹)</t>
  </si>
  <si>
    <t>Amount Released (₹)</t>
  </si>
  <si>
    <t>Current Status</t>
  </si>
  <si>
    <t>Registered</t>
  </si>
  <si>
    <t>LH-204 (Second Floor)</t>
  </si>
  <si>
    <t>Awarded</t>
  </si>
  <si>
    <t>YES</t>
  </si>
  <si>
    <t>SCI/SCIE/SSCI</t>
  </si>
  <si>
    <t>Scopus / UGC CARE</t>
  </si>
  <si>
    <t>Other</t>
  </si>
  <si>
    <t>International</t>
  </si>
  <si>
    <t>National</t>
  </si>
  <si>
    <t>Total Faculty Reported</t>
  </si>
  <si>
    <t>LH-202 (Second Floor)</t>
  </si>
  <si>
    <r>
      <rPr>
        <rFont val="Calibri"/>
        <color rgb="FF1155CC"/>
        <sz val="12.0"/>
        <u/>
      </rPr>
      <t>B.Sc</t>
    </r>
    <r>
      <rPr>
        <rFont val="Calibri"/>
        <color theme="1"/>
        <sz val="12.0"/>
      </rPr>
      <t>.(Mathematics)</t>
    </r>
  </si>
  <si>
    <t>Total Sanctioned Student Intake (2026)</t>
  </si>
  <si>
    <r>
      <rPr>
        <rFont val="Calibri"/>
        <color rgb="FF1155CC"/>
        <sz val="12.0"/>
        <u/>
      </rPr>
      <t>B.Sc</t>
    </r>
    <r>
      <rPr>
        <rFont val="Calibri"/>
        <color rgb="FF1155CC"/>
        <sz val="12.0"/>
        <u/>
      </rPr>
      <t xml:space="preserve">., </t>
    </r>
    <r>
      <rPr>
        <rFont val="Calibri"/>
        <color rgb="FF1155CC"/>
        <sz val="12.0"/>
        <u/>
      </rPr>
      <t>M.Sc</t>
    </r>
    <r>
      <rPr>
        <rFont val="Calibri"/>
        <color rgb="FF1155CC"/>
        <sz val="12.0"/>
        <u/>
      </rPr>
      <t>. &amp; Ph.D</t>
    </r>
  </si>
  <si>
    <t>Faculty with PhD</t>
  </si>
  <si>
    <t xml:space="preserve">Head of Department, Director of Rajju Bhaiya Institute, Convenor of Admission campus, Nodel of Admission Samarth, Nodel of Admission of affilated colleges, memeber of quotation committee, </t>
  </si>
  <si>
    <t>Total Students Admitted (2026)</t>
  </si>
  <si>
    <r>
      <rPr>
        <rFont val="Calibri"/>
        <color rgb="FF1155CC"/>
        <sz val="11.0"/>
        <u/>
      </rPr>
      <t>‪Prof. Mithilesh Singh‬ - ‪Google Scholar‬</t>
    </r>
  </si>
  <si>
    <t>Labs/Classrooms Reported</t>
  </si>
  <si>
    <t>Programmes with NEP Alignment</t>
  </si>
  <si>
    <t>Higher education of U.P.</t>
  </si>
  <si>
    <t>Digital Smart Board Available</t>
  </si>
  <si>
    <t>₹1,57,300</t>
  </si>
  <si>
    <t>₹0</t>
  </si>
  <si>
    <t>Ongoing</t>
  </si>
  <si>
    <t>Mr. Saurabh Kumar Singh</t>
  </si>
  <si>
    <t>Projector Available</t>
  </si>
  <si>
    <t>B.Sc., M.Sc.</t>
  </si>
  <si>
    <t>BOS Convener, ACS (B.Sc. Examination)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</si>
  <si>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</si>
  <si>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__09-09-2026_____________________</t>
  </si>
  <si>
    <t>Dr. Deepak Kumar Maurya</t>
  </si>
  <si>
    <t>B.Sc., M.Sc., and Ph.D</t>
  </si>
  <si>
    <t>Nodal Officer (Electoral Literacy Club), Member of BOS, Member of Time Table Committee, Member of B.Sc. Admission Committee, In Charge of Computer Lab of Rajju Bhaiya Institute</t>
  </si>
  <si>
    <r>
      <rPr>
        <rFont val="Calibri, sans-serif"/>
        <b/>
        <color rgb="FF1155CC"/>
        <sz val="11.0"/>
        <u/>
      </rPr>
      <t>Google Scholar:</t>
    </r>
    <r>
      <rPr>
        <rFont val="Calibri, sans-serif"/>
        <b/>
        <color rgb="FF1155CC"/>
        <sz val="11.0"/>
        <u/>
      </rPr>
      <t xml:space="preserve"> https://scholar.google.com/citations?user=XBbJlogAAAAJ&amp;hl=en&amp;oi=ao</t>
    </r>
    <r>
      <rPr>
        <rFont val="Calibri, sans-serif"/>
        <b/>
        <color rgb="FF1155CC"/>
        <sz val="11.0"/>
        <u/>
      </rPr>
      <t xml:space="preserve"> </t>
    </r>
    <r>
      <rPr>
        <rFont val="Calibri, sans-serif"/>
        <b/>
        <color rgb="FF1155CC"/>
        <sz val="11.0"/>
        <u/>
      </rPr>
      <t>ORCID:</t>
    </r>
    <r>
      <rPr>
        <rFont val="Calibri, sans-serif"/>
        <b/>
        <color rgb="FF1155CC"/>
        <sz val="11.0"/>
        <u/>
      </rPr>
      <t xml:space="preserve"> </t>
    </r>
    <r>
      <rPr>
        <rFont val="Calibri, sans-serif"/>
        <b/>
        <color rgb="FF1155CC"/>
        <sz val="11.0"/>
        <u/>
      </rPr>
      <t xml:space="preserve"> https://orcid.org/0000-0003-2228-360</t>
    </r>
    <r>
      <rPr>
        <rFont val="Calibri, sans-serif"/>
        <b/>
        <sz val="11.0"/>
      </rPr>
      <t>6</t>
    </r>
  </si>
  <si>
    <t>Council of Science and Technology, Uttar Pradesh</t>
  </si>
  <si>
    <t>03 Years</t>
  </si>
  <si>
    <t>Rs. 1136000/- (Eleven Lacs Thirty Six Thousand Only)</t>
  </si>
  <si>
    <t>Rs. 1108000/- (Eleven Lacs Eight Thousand Only)</t>
  </si>
  <si>
    <t>Dr. Ashish Verma</t>
  </si>
  <si>
    <t>Admission Coordinator of M.Sc., Member of BOS</t>
  </si>
  <si>
    <t>No. of Publications in Scopus Indexing=37 &amp; No. of Publications in UGC CARE Indexing=02</t>
  </si>
  <si>
    <t>No. of Publications in Peer Reviewed Indexing=02</t>
  </si>
  <si>
    <t>Google Scholar: https://scholar.google.com/citations?hl=en&amp;user=4k6zGIMAAAAJ
 ORCID: https://orcid.org/0000-0002-0776-5730</t>
  </si>
  <si>
    <t>VBSPU</t>
  </si>
  <si>
    <t>01 Year</t>
  </si>
  <si>
    <t>Rs. 100000/- (One Lac only)</t>
  </si>
  <si>
    <t>Completed</t>
  </si>
  <si>
    <t>02 (Thesis Submitted)</t>
  </si>
  <si>
    <t>Department of Higher Education, Uttar Pradesh</t>
  </si>
  <si>
    <t>Rs. 291500/- (Two Lacs Ninty One Thousand Five Hundred Only)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</si>
  <si>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</si>
  <si>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</si>
  <si>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</si>
  <si>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</si>
  <si>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</si>
  <si>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</si>
  <si>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</si>
  <si>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</si>
  <si>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</si>
  <si>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</si>
  <si>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</si>
  <si>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</si>
  <si>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</si>
  <si>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</si>
  <si>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</si>
  <si>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</si>
  <si>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</si>
  <si>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</si>
  <si>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</si>
  <si>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</si>
  <si>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</si>
  <si>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</si>
  <si>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</si>
  <si>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</si>
  <si>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</si>
  <si>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</si>
  <si>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</si>
  <si>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</si>
  <si>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</si>
  <si>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</si>
  <si>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</si>
  <si>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</si>
  <si>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</si>
  <si>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</si>
  <si>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</si>
  <si>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</si>
  <si>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</si>
  <si>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</si>
  <si>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</si>
  <si>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</si>
  <si>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</si>
  <si>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</si>
  <si>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</si>
  <si>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</si>
  <si>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</si>
  <si>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</si>
  <si>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</si>
  <si>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</si>
  <si>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</si>
  <si>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</si>
  <si>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</si>
  <si>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</si>
  <si>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</si>
  <si>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</si>
  <si>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</si>
  <si>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Higher Education of UP</t>
  </si>
  <si>
    <t>Some Studies of Non-linear Waves in
 Gases with Nanoparticles</t>
  </si>
  <si>
    <t>April-June 2027</t>
  </si>
  <si>
    <t>To be published-2 papers</t>
  </si>
  <si>
    <t>Preparing the manuscript</t>
  </si>
  <si>
    <t>Research manuscript may be published which are under review and new manuscript will be submitted for publication</t>
  </si>
  <si>
    <t>(High priority) : Inovative teaching and learning of students and Professor. To focus on new works related to quantum computing</t>
  </si>
  <si>
    <t>Communicating the manuscript</t>
  </si>
  <si>
    <t>I will work on new research problem</t>
  </si>
  <si>
    <t>CoE, ANRF (SERB), DST, CSTUP, Higher Education (UP)</t>
  </si>
  <si>
    <t>Modeling of Nanoparticle Transport …</t>
  </si>
  <si>
    <t>To be published-3 papers</t>
  </si>
  <si>
    <t>Published one article in Q1 Journal
 and Communicated 03 manuscripts for publication</t>
  </si>
  <si>
    <t>Published 01 article in Physics of Fluids (Q1 journal)
 Total manuscript is Q1 journals are 07 since 09-09-2026</t>
  </si>
  <si>
    <t>Multivariable Hypergeometric functions …</t>
  </si>
  <si>
    <t>Published one article in Scopus Indexed Journal
 and Communicated 02 manuscripts for publication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</si>
</sst>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\₹#,##0"/>
    <numFmt numFmtId="166" formatCode="mm-dd-yyyy"/>
  </numFmts>
  <fonts count="32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4.0"/>
      <color rgb="FF2F5496"/>
      <name val="Calibri"/>
    </font>
    <font/>
    <font>
      <sz val="11.0"/>
      <color theme="1"/>
      <name val="Calibri"/>
    </font>
    <font>
      <b/>
      <sz val="16.0"/>
      <color rgb="FFFFFFFF"/>
      <name val="Calibri"/>
    </font>
    <font>
      <b/>
      <sz val="14.0"/>
      <color rgb="FFC55A11"/>
      <name val="Calibri"/>
    </font>
    <font>
      <b/>
      <sz val="10.0"/>
      <color rgb="FF1F2937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b/>
      <u/>
      <sz val="12.0"/>
      <color rgb="FF0000FF"/>
      <name val="Calibri"/>
    </font>
    <font>
      <u/>
      <sz val="12.0"/>
      <color theme="1"/>
      <name val="Calibri"/>
    </font>
    <font>
      <sz val="12.0"/>
      <color rgb="FF2F5496"/>
      <name val="Calibri"/>
    </font>
    <font>
      <b/>
      <color rgb="FF000000"/>
      <name val="Inter"/>
    </font>
    <font>
      <sz val="12.0"/>
      <color rgb="FF000000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b/>
      <u/>
      <sz val="11.0"/>
      <color rgb="FF0000FF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  <font>
      <sz val="11.0"/>
      <color rgb="FF000000"/>
      <name val="Calibri"/>
    </font>
    <font>
      <sz val="10.0"/>
      <color rgb="FF000000"/>
      <name val="&quot;\0022Times New Roman\0022&quot;"/>
    </font>
  </fonts>
  <fills count="2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0F6B78"/>
        <bgColor rgb="FF0F6B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1" fillId="2" fontId="2" numFmtId="0" xfId="0" applyBorder="1" applyFill="1" applyFont="1"/>
    <xf borderId="2" fillId="2" fontId="3" numFmtId="0" xfId="0" applyAlignment="1" applyBorder="1" applyFill="1" applyFont="1">
      <alignment readingOrder="0"/>
    </xf>
    <xf borderId="3" fillId="2" fontId="4" numFmtId="0" xfId="0" applyAlignment="1" applyBorder="1" applyFill="1" applyFont="1">
      <alignment shrinkToFit="0" vertical="center" wrapText="1"/>
    </xf>
    <xf borderId="4" fillId="0" fontId="5" numFmtId="0" xfId="0" applyBorder="1" applyFont="1"/>
    <xf borderId="5" fillId="0" fontId="5" numFmtId="0" xfId="0" applyBorder="1" applyFont="1"/>
    <xf borderId="3" fillId="2" fontId="2" numFmtId="0" xfId="0" applyAlignment="1" applyBorder="1" applyFill="1" applyFont="1">
      <alignment horizontal="center"/>
    </xf>
    <xf borderId="6" fillId="0" fontId="5" numFmtId="0" xfId="0" applyBorder="1" applyFont="1"/>
    <xf borderId="2" fillId="3" fontId="6" numFmtId="0" xfId="0" applyBorder="1" applyFill="1" applyFont="1"/>
    <xf borderId="7" fillId="3" fontId="6" numFmtId="0" xfId="0" applyBorder="1" applyFill="1" applyFont="1"/>
    <xf borderId="3" fillId="3" fontId="4" numFmtId="0" xfId="0" applyAlignment="1" applyBorder="1" applyFill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2" fontId="3" numFmtId="0" xfId="0" applyBorder="1" applyFill="1" applyFont="1"/>
    <xf borderId="8" fillId="2" fontId="8" numFmtId="0" xfId="0" applyAlignment="1" applyBorder="1" applyFill="1" applyFont="1">
      <alignment horizontal="center" shrinkToFit="0" vertical="center" wrapText="1"/>
    </xf>
    <xf borderId="9" fillId="3" fontId="6" numFmtId="0" xfId="0" applyBorder="1" applyFill="1" applyFont="1"/>
    <xf borderId="8" fillId="3" fontId="8" numFmtId="0" xfId="0" applyAlignment="1" applyBorder="1" applyFill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3" fillId="2" fontId="4" numFmtId="0" xfId="0" applyAlignment="1" applyBorder="1" applyFill="1" applyFont="1">
      <alignment readingOrder="0" shrinkToFit="0" vertical="center" wrapText="1"/>
    </xf>
    <xf borderId="7" fillId="6" fontId="10" numFmtId="0" xfId="0" applyAlignment="1" applyBorder="1" applyFill="1" applyFont="1">
      <alignment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10" fillId="2" fontId="2" numFmtId="0" xfId="0" applyBorder="1" applyFill="1" applyFont="1"/>
    <xf borderId="11" fillId="6" fontId="10" numFmtId="0" xfId="0" applyAlignment="1" applyBorder="1" applyFill="1" applyFont="1">
      <alignment shrinkToFit="0" vertical="center" wrapText="1"/>
    </xf>
    <xf borderId="12" fillId="0" fontId="5" numFmtId="0" xfId="0" applyBorder="1" applyFont="1"/>
    <xf borderId="3" fillId="3" fontId="1" numFmtId="0" xfId="0" applyAlignment="1" applyBorder="1" applyFill="1" applyFont="1">
      <alignment horizontal="center"/>
    </xf>
    <xf borderId="10" fillId="4" fontId="1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3" fillId="3" fontId="6" numFmtId="0" xfId="0" applyBorder="1" applyFill="1" applyFont="1"/>
    <xf borderId="3" fillId="3" fontId="6" numFmtId="0" xfId="0" applyAlignment="1" applyBorder="1" applyFill="1" applyFont="1">
      <alignment readingOrder="0" shrinkToFit="0" vertical="center" wrapText="1"/>
    </xf>
    <xf borderId="11" fillId="2" fontId="3" numFmtId="0" xfId="0" applyBorder="1" applyFill="1" applyFont="1"/>
    <xf borderId="3" fillId="4" fontId="11" numFmtId="0" xfId="0" applyAlignment="1" applyBorder="1" applyFill="1" applyFont="1">
      <alignment horizontal="center" shrinkToFit="0" vertical="center" wrapText="1"/>
    </xf>
    <xf borderId="11" fillId="3" fontId="6" numFmtId="0" xfId="0" applyBorder="1" applyFill="1" applyFont="1"/>
    <xf borderId="1" fillId="2" fontId="1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readingOrder="0" shrinkToFit="0" vertical="center" wrapText="1"/>
    </xf>
    <xf borderId="3" fillId="4" fontId="13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readingOrder="0"/>
    </xf>
    <xf borderId="0" fillId="0" fontId="2" numFmtId="0" xfId="0" applyFont="1"/>
    <xf borderId="1" fillId="0" fontId="12" numFmtId="1" xfId="0" applyAlignment="1" applyBorder="1" applyFont="1" applyNumberFormat="1">
      <alignment horizontal="right" readingOrder="0"/>
    </xf>
    <xf borderId="14" fillId="0" fontId="5" numFmtId="0" xfId="0" applyBorder="1" applyFont="1"/>
    <xf borderId="1" fillId="6" fontId="11" numFmtId="0" xfId="0" applyAlignment="1" applyBorder="1" applyFill="1" applyFont="1">
      <alignment horizontal="center" shrinkToFit="0" vertical="center" wrapText="1"/>
    </xf>
    <xf borderId="3" fillId="3" fontId="6" numFmtId="164" xfId="0" applyAlignment="1" applyBorder="1" applyFill="1" applyFont="1" applyNumberFormat="1">
      <alignment shrinkToFit="0" vertical="center" wrapText="1"/>
    </xf>
    <xf borderId="1" fillId="7" fontId="12" numFmtId="0" xfId="0" applyAlignment="1" applyBorder="1" applyFill="1" applyFont="1">
      <alignment readingOrder="0"/>
    </xf>
    <xf borderId="3" fillId="4" fontId="14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shrinkToFit="0" vertical="center" wrapText="1"/>
    </xf>
    <xf borderId="1" fillId="4" fontId="14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15" fillId="0" fontId="5" numFmtId="0" xfId="0" applyBorder="1" applyFont="1"/>
    <xf borderId="1" fillId="0" fontId="12" numFmtId="0" xfId="0" applyAlignment="1" applyBorder="1" applyFont="1">
      <alignment horizontal="right" readingOrder="0"/>
    </xf>
    <xf borderId="10" fillId="6" fontId="11" numFmtId="0" xfId="0" applyAlignment="1" applyBorder="1" applyFill="1" applyFont="1">
      <alignment horizontal="center" shrinkToFit="0" vertical="center" wrapText="1"/>
    </xf>
    <xf borderId="3" fillId="6" fontId="1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5" numFmtId="0" xfId="0" applyAlignment="1" applyBorder="1" applyFont="1">
      <alignment readingOrder="0"/>
    </xf>
    <xf borderId="9" fillId="8" fontId="10" numFmtId="0" xfId="0" applyAlignment="1" applyBorder="1" applyFill="1" applyFont="1">
      <alignment horizontal="center" shrinkToFit="0" wrapText="1"/>
    </xf>
    <xf borderId="1" fillId="0" fontId="16" numFmtId="0" xfId="0" applyAlignment="1" applyBorder="1" applyFont="1">
      <alignment readingOrder="0" shrinkToFit="0" vertical="center" wrapText="1"/>
    </xf>
    <xf borderId="16" fillId="6" fontId="1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10" fontId="17" numFmtId="165" xfId="0" applyAlignment="1" applyBorder="1" applyFill="1" applyFont="1" applyNumberFormat="1">
      <alignment readingOrder="0" shrinkToFit="0" vertical="center" wrapText="1"/>
    </xf>
    <xf borderId="0" fillId="11" fontId="18" numFmtId="165" xfId="0" applyAlignment="1" applyFill="1" applyFont="1" applyNumberFormat="1">
      <alignment readingOrder="0"/>
    </xf>
    <xf borderId="1" fillId="10" fontId="1" numFmtId="1" xfId="0" applyAlignment="1" applyBorder="1" applyFill="1" applyFont="1" applyNumberFormat="1">
      <alignment readingOrder="0"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7" fillId="0" fontId="5" numFmtId="0" xfId="0" applyBorder="1" applyFont="1"/>
    <xf borderId="9" fillId="7" fontId="3" numFmtId="0" xfId="0" applyAlignment="1" applyBorder="1" applyFill="1" applyFont="1">
      <alignment horizontal="center" shrinkToFit="0" wrapText="1"/>
    </xf>
    <xf borderId="1" fillId="2" fontId="19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9" numFmtId="0" xfId="0" applyAlignment="1" applyBorder="1" applyFont="1">
      <alignment readingOrder="0"/>
    </xf>
    <xf borderId="1" fillId="0" fontId="19" numFmtId="164" xfId="0" applyAlignment="1" applyBorder="1" applyFont="1" applyNumberFormat="1">
      <alignment horizontal="right" readingOrder="0"/>
    </xf>
    <xf borderId="1" fillId="7" fontId="19" numFmtId="0" xfId="0" applyAlignment="1" applyBorder="1" applyFill="1" applyFont="1">
      <alignment readingOrder="0"/>
    </xf>
    <xf borderId="9" fillId="7" fontId="3" numFmtId="1" xfId="0" applyAlignment="1" applyBorder="1" applyFill="1" applyFont="1" applyNumberFormat="1">
      <alignment horizontal="center" shrinkToFit="0" wrapText="1"/>
    </xf>
    <xf borderId="1" fillId="0" fontId="20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13" fontId="19" numFmtId="1" xfId="0" applyAlignment="1" applyBorder="1" applyFill="1" applyFont="1" applyNumberFormat="1">
      <alignment horizontal="right" readingOrder="0"/>
    </xf>
    <xf borderId="1" fillId="0" fontId="2" numFmtId="0" xfId="0" applyAlignment="1" applyBorder="1" applyFont="1">
      <alignment shrinkToFit="0" vertical="center" wrapText="1"/>
    </xf>
    <xf borderId="1" fillId="13" fontId="19" numFmtId="0" xfId="0" applyAlignment="1" applyBorder="1" applyFill="1" applyFont="1">
      <alignment readingOrder="0"/>
    </xf>
    <xf borderId="1" fillId="0" fontId="2" numFmtId="1" xfId="0" applyAlignment="1" applyBorder="1" applyFont="1" applyNumberFormat="1">
      <alignment shrinkToFit="0" vertical="center" wrapText="1"/>
    </xf>
    <xf borderId="1" fillId="9" fontId="19" numFmtId="1" xfId="0" applyAlignment="1" applyBorder="1" applyFill="1" applyFont="1" applyNumberFormat="1">
      <alignment horizontal="right" readingOrder="0"/>
    </xf>
    <xf borderId="1" fillId="14" fontId="19" numFmtId="1" xfId="0" applyAlignment="1" applyBorder="1" applyFill="1" applyFont="1" applyNumberFormat="1">
      <alignment horizontal="right" readingOrder="0"/>
    </xf>
    <xf borderId="1" fillId="0" fontId="1" numFmtId="0" xfId="0" applyAlignment="1" applyBorder="1" applyFont="1">
      <alignment shrinkToFit="0" vertical="center" wrapText="1"/>
    </xf>
    <xf borderId="0" fillId="0" fontId="21" numFmtId="0" xfId="0" applyAlignment="1" applyFont="1">
      <alignment readingOrder="0" shrinkToFit="0" vertical="bottom" wrapText="0"/>
    </xf>
    <xf borderId="1" fillId="9" fontId="1" numFmtId="1" xfId="0" applyAlignment="1" applyBorder="1" applyFill="1" applyFont="1" applyNumberFormat="1">
      <alignment shrinkToFit="0" vertical="center" wrapText="1"/>
    </xf>
    <xf borderId="1" fillId="9" fontId="19" numFmtId="1" xfId="0" applyAlignment="1" applyBorder="1" applyFill="1" applyFont="1" applyNumberFormat="1">
      <alignment readingOrder="0"/>
    </xf>
    <xf borderId="1" fillId="10" fontId="17" numFmtId="165" xfId="0" applyAlignment="1" applyBorder="1" applyFill="1" applyFont="1" applyNumberFormat="1">
      <alignment shrinkToFit="0" vertical="center" wrapText="1"/>
    </xf>
    <xf borderId="1" fillId="12" fontId="19" numFmtId="0" xfId="0" applyAlignment="1" applyBorder="1" applyFill="1" applyFont="1">
      <alignment readingOrder="0"/>
    </xf>
    <xf borderId="1" fillId="12" fontId="19" numFmtId="1" xfId="0" applyAlignment="1" applyBorder="1" applyFill="1" applyFont="1" applyNumberFormat="1">
      <alignment horizontal="right" readingOrder="0"/>
    </xf>
    <xf borderId="1" fillId="12" fontId="19" numFmtId="165" xfId="0" applyAlignment="1" applyBorder="1" applyFill="1" applyFont="1" applyNumberFormat="1">
      <alignment horizontal="right" readingOrder="0"/>
    </xf>
    <xf borderId="1" fillId="10" fontId="1" numFmtId="1" xfId="0" applyAlignment="1" applyBorder="1" applyFill="1" applyFont="1" applyNumberFormat="1">
      <alignment shrinkToFit="0" vertical="center" wrapText="1"/>
    </xf>
    <xf borderId="1" fillId="9" fontId="1" numFmtId="164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14" fontId="19" numFmtId="1" xfId="0" applyAlignment="1" applyBorder="1" applyFill="1" applyFont="1" applyNumberFormat="1">
      <alignment readingOrder="0"/>
    </xf>
    <xf borderId="11" fillId="3" fontId="6" numFmtId="0" xfId="0" applyAlignment="1" applyBorder="1" applyFill="1" applyFont="1">
      <alignment readingOrder="0" shrinkToFit="0" vertical="top" wrapText="1"/>
    </xf>
    <xf borderId="1" fillId="14" fontId="19" numFmtId="0" xfId="0" applyAlignment="1" applyBorder="1" applyFill="1" applyFont="1">
      <alignment readingOrder="0"/>
    </xf>
    <xf borderId="18" fillId="0" fontId="5" numFmtId="0" xfId="0" applyBorder="1" applyFont="1"/>
    <xf borderId="1" fillId="9" fontId="19" numFmtId="0" xfId="0" applyAlignment="1" applyBorder="1" applyFill="1" applyFont="1">
      <alignment readingOrder="0"/>
    </xf>
    <xf borderId="1" fillId="9" fontId="19" numFmtId="165" xfId="0" applyAlignment="1" applyBorder="1" applyFill="1" applyFont="1" applyNumberFormat="1">
      <alignment readingOrder="0"/>
    </xf>
    <xf borderId="1" fillId="9" fontId="19" numFmtId="1" xfId="0" applyAlignment="1" applyBorder="1" applyFill="1" applyFont="1" applyNumberFormat="1">
      <alignment horizontal="right" readingOrder="0"/>
    </xf>
    <xf borderId="1" fillId="0" fontId="22" numFmtId="0" xfId="0" applyAlignment="1" applyBorder="1" applyFont="1">
      <alignment readingOrder="0"/>
    </xf>
    <xf borderId="1" fillId="12" fontId="19" numFmtId="0" xfId="0" applyAlignment="1" applyBorder="1" applyFill="1" applyFont="1">
      <alignment readingOrder="0"/>
    </xf>
    <xf borderId="1" fillId="12" fontId="19" numFmtId="1" xfId="0" applyAlignment="1" applyBorder="1" applyFill="1" applyFont="1" applyNumberFormat="1">
      <alignment readingOrder="0"/>
    </xf>
    <xf borderId="19" fillId="2" fontId="6" numFmtId="0" xfId="0" applyAlignment="1" applyBorder="1" applyFill="1" applyFont="1">
      <alignment horizontal="center" shrinkToFit="0" vertical="center" wrapText="1"/>
    </xf>
    <xf borderId="1" fillId="12" fontId="19" numFmtId="165" xfId="0" applyAlignment="1" applyBorder="1" applyFill="1" applyFont="1" applyNumberFormat="1">
      <alignment readingOrder="0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20" fillId="0" fontId="6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readingOrder="0"/>
    </xf>
    <xf borderId="1" fillId="12" fontId="12" numFmtId="0" xfId="0" applyAlignment="1" applyBorder="1" applyFill="1" applyFont="1">
      <alignment readingOrder="0"/>
    </xf>
    <xf borderId="1" fillId="12" fontId="19" numFmtId="1" xfId="0" applyAlignment="1" applyBorder="1" applyFill="1" applyFont="1" applyNumberFormat="1">
      <alignment readingOrder="0"/>
    </xf>
    <xf borderId="1" fillId="12" fontId="19" numFmtId="165" xfId="0" applyAlignment="1" applyBorder="1" applyFill="1" applyFont="1" applyNumberFormat="1">
      <alignment readingOrder="0"/>
    </xf>
    <xf borderId="1" fillId="2" fontId="19" numFmtId="0" xfId="0" applyAlignment="1" applyBorder="1" applyFill="1" applyFont="1">
      <alignment horizontal="center"/>
    </xf>
    <xf borderId="1" fillId="0" fontId="19" numFmtId="0" xfId="0" applyBorder="1" applyFont="1"/>
    <xf borderId="1" fillId="0" fontId="19" numFmtId="164" xfId="0" applyBorder="1" applyFont="1" applyNumberFormat="1"/>
    <xf borderId="1" fillId="13" fontId="19" numFmtId="1" xfId="0" applyBorder="1" applyFill="1" applyFont="1" applyNumberFormat="1"/>
    <xf borderId="1" fillId="13" fontId="19" numFmtId="0" xfId="0" applyBorder="1" applyFill="1" applyFont="1"/>
    <xf borderId="1" fillId="9" fontId="19" numFmtId="1" xfId="0" applyBorder="1" applyFill="1" applyFont="1" applyNumberFormat="1"/>
    <xf borderId="1" fillId="14" fontId="19" numFmtId="1" xfId="0" applyBorder="1" applyFill="1" applyFont="1" applyNumberFormat="1"/>
    <xf borderId="1" fillId="12" fontId="19" numFmtId="0" xfId="0" applyBorder="1" applyFill="1" applyFont="1"/>
    <xf borderId="21" fillId="2" fontId="6" numFmtId="0" xfId="0" applyAlignment="1" applyBorder="1" applyFill="1" applyFont="1">
      <alignment horizontal="center" shrinkToFit="0" vertical="center" wrapText="1"/>
    </xf>
    <xf borderId="22" fillId="0" fontId="6" numFmtId="0" xfId="0" applyAlignment="1" applyBorder="1" applyFont="1">
      <alignment shrinkToFit="0" vertical="center" wrapText="1"/>
    </xf>
    <xf borderId="22" fillId="0" fontId="6" numFmtId="1" xfId="0" applyAlignment="1" applyBorder="1" applyFont="1" applyNumberForma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3" fontId="1" numFmtId="0" xfId="0" applyAlignment="1" applyBorder="1" applyFill="1" applyFont="1">
      <alignment shrinkToFit="0" vertical="center" wrapText="1"/>
    </xf>
    <xf borderId="1" fillId="14" fontId="1" numFmtId="1" xfId="0" applyAlignment="1" applyBorder="1" applyFill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2" fontId="1" numFmtId="165" xfId="0" applyAlignment="1" applyBorder="1" applyFill="1" applyFont="1" applyNumberFormat="1">
      <alignment shrinkToFit="0" vertical="center" wrapText="1"/>
    </xf>
    <xf borderId="0" fillId="6" fontId="7" numFmtId="0" xfId="0" applyAlignment="1" applyFill="1" applyFont="1">
      <alignment horizontal="center" vertical="bottom"/>
    </xf>
    <xf borderId="0" fillId="5" fontId="23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5" fontId="24" numFmtId="0" xfId="0" applyAlignment="1" applyFill="1" applyFont="1">
      <alignment vertical="bottom"/>
    </xf>
    <xf borderId="0" fillId="0" fontId="2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15" fontId="26" numFmtId="0" xfId="0" applyAlignment="1" applyFill="1" applyFont="1">
      <alignment vertical="bottom"/>
    </xf>
    <xf borderId="0" fillId="16" fontId="27" numFmtId="0" xfId="0" applyAlignment="1" applyFill="1" applyFont="1">
      <alignment horizontal="center" vertical="bottom"/>
    </xf>
    <xf borderId="0" fillId="17" fontId="2" numFmtId="0" xfId="0" applyAlignment="1" applyFill="1" applyFont="1">
      <alignment horizontal="center" readingOrder="0" vertical="bottom"/>
    </xf>
    <xf borderId="0" fillId="17" fontId="2" numFmtId="9" xfId="0" applyAlignment="1" applyFill="1" applyFont="1" applyNumberFormat="1">
      <alignment horizontal="center" readingOrder="0" vertical="bottom"/>
    </xf>
    <xf borderId="0" fillId="18" fontId="28" numFmtId="0" xfId="0" applyAlignment="1" applyFill="1" applyFont="1">
      <alignment horizontal="center" shrinkToFit="0" vertical="bottom" wrapText="1"/>
    </xf>
    <xf borderId="0" fillId="0" fontId="6" numFmtId="165" xfId="0" applyAlignment="1" applyFont="1" applyNumberFormat="1">
      <alignment shrinkToFit="0" vertical="center" wrapText="1"/>
    </xf>
    <xf borderId="0" fillId="19" fontId="28" numFmtId="0" xfId="0" applyAlignment="1" applyFill="1" applyFont="1">
      <alignment horizontal="center" shrinkToFit="0" vertical="bottom" wrapText="1"/>
    </xf>
    <xf borderId="0" fillId="20" fontId="28" numFmtId="0" xfId="0" applyAlignment="1" applyFill="1" applyFont="1">
      <alignment horizontal="center" shrinkToFit="0" vertical="bottom" wrapText="1"/>
    </xf>
    <xf borderId="0" fillId="21" fontId="28" numFmtId="0" xfId="0" applyAlignment="1" applyFill="1" applyFont="1">
      <alignment horizontal="center" shrinkToFit="0" vertical="bottom" wrapText="1"/>
    </xf>
    <xf borderId="0" fillId="22" fontId="28" numFmtId="0" xfId="0" applyAlignment="1" applyFill="1" applyFont="1">
      <alignment horizontal="center" shrinkToFit="0" vertical="bottom" wrapText="1"/>
    </xf>
    <xf borderId="0" fillId="0" fontId="6" numFmtId="164" xfId="0" applyAlignment="1" applyFont="1" applyNumberFormat="1">
      <alignment shrinkToFit="0" vertical="center" wrapText="1"/>
    </xf>
    <xf borderId="0" fillId="23" fontId="28" numFmtId="0" xfId="0" applyAlignment="1" applyFill="1" applyFont="1">
      <alignment horizontal="center" shrinkToFit="0" vertical="bottom" wrapText="1"/>
    </xf>
    <xf borderId="0" fillId="24" fontId="28" numFmtId="0" xfId="0" applyAlignment="1" applyFill="1" applyFont="1">
      <alignment horizontal="center" shrinkToFit="0" vertical="bottom" wrapText="1"/>
    </xf>
    <xf borderId="24" fillId="9" fontId="29" numFmtId="0" xfId="0" applyAlignment="1" applyBorder="1" applyFill="1" applyFont="1">
      <alignment horizontal="center" shrinkToFit="0" vertical="bottom" wrapText="1"/>
    </xf>
    <xf borderId="25" fillId="9" fontId="29" numFmtId="0" xfId="0" applyAlignment="1" applyBorder="1" applyFill="1" applyFont="1">
      <alignment horizontal="center" shrinkToFit="0" vertical="bottom" wrapText="1"/>
    </xf>
    <xf borderId="26" fillId="9" fontId="29" numFmtId="0" xfId="0" applyAlignment="1" applyBorder="1" applyFill="1" applyFont="1">
      <alignment horizontal="center" shrinkToFit="0" vertical="bottom" wrapText="1"/>
    </xf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30" numFmtId="0" xfId="0" applyAlignment="1" applyBorder="1" applyFont="1">
      <alignment horizontal="right" readingOrder="0" shrinkToFit="0" vertical="top" wrapText="0"/>
    </xf>
    <xf borderId="31" fillId="0" fontId="30" numFmtId="0" xfId="0" applyAlignment="1" applyBorder="1" applyFont="1">
      <alignment readingOrder="0" shrinkToFit="0" vertical="top" wrapText="0"/>
    </xf>
    <xf borderId="31" fillId="0" fontId="30" numFmtId="166" xfId="0" applyAlignment="1" applyBorder="1" applyFont="1" applyNumberFormat="1">
      <alignment horizontal="right" readingOrder="0" shrinkToFit="0" vertical="top" wrapText="0"/>
    </xf>
    <xf borderId="31" fillId="0" fontId="30" numFmtId="0" xfId="0" applyAlignment="1" applyBorder="1" applyFont="1">
      <alignment horizontal="right" readingOrder="0" shrinkToFit="0" vertical="top" wrapText="0"/>
    </xf>
    <xf borderId="0" fillId="0" fontId="3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top"/>
    </xf>
    <xf borderId="31" fillId="0" fontId="30" numFmtId="0" xfId="0" applyAlignment="1" applyBorder="1" applyFont="1">
      <alignment readingOrder="0" vertical="top"/>
    </xf>
    <xf borderId="31" fillId="0" fontId="5" numFmtId="0" xfId="0" applyBorder="1" applyFont="1"/>
    <xf borderId="32" fillId="0" fontId="5" numFmtId="0" xfId="0" applyBorder="1" applyFont="1"/>
    <xf borderId="33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34" fillId="0" fontId="6" numFmtId="0" xfId="0" applyAlignment="1" applyBorder="1" applyFont="1">
      <alignment vertical="top"/>
    </xf>
    <xf borderId="22" fillId="0" fontId="6" numFmtId="165" xfId="0" applyAlignment="1" applyBorder="1" applyFont="1" applyNumberFormat="1">
      <alignment shrinkToFit="0" vertical="center" wrapText="1"/>
    </xf>
    <xf borderId="22" fillId="0" fontId="6" numFmtId="164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20" fillId="0" fontId="6" numFmtId="1" xfId="0" applyAlignment="1" applyBorder="1" applyFont="1" applyNumberFormat="1">
      <alignment shrinkToFit="0" vertical="center" wrapText="1"/>
    </xf>
    <xf borderId="23" fillId="0" fontId="6" numFmtId="1" xfId="0" applyAlignment="1" applyBorder="1" applyFont="1" applyNumberFormat="1">
      <alignment shrinkToFit="0" vertical="center" wrapText="1"/>
    </xf>
    <xf borderId="9" fillId="9" fontId="1" numFmtId="0" xfId="0" applyBorder="1" applyFill="1" applyFont="1"/>
    <xf borderId="35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37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866775</xdr:colOff>
      <xdr:row>0</xdr:row>
      <xdr:rowOff>7410450</xdr:rowOff>
    </xdr:from>
    <xdr:ext cx="1819275" cy="923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hyperlink" Target="https://scholar.google.com/citations?user=j127aqcAAAAJ&amp;hl=hi" TargetMode="External"/><Relationship Id="rId3" Type="http://schemas.openxmlformats.org/officeDocument/2006/relationships/hyperlink" Target="https://scholar.google.com/citations?user=XBbJlogAAAAJ&amp;hl=en&amp;oi=ao%20(Google%20Scholar)%E2%80%8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.sc/" TargetMode="External"/><Relationship Id="rId2" Type="http://schemas.openxmlformats.org/officeDocument/2006/relationships/hyperlink" Target="http://b.sc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35.86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33.71"/>
    <col customWidth="1" min="18" max="18" width="9.0"/>
    <col customWidth="1" min="19" max="19" width="17.86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3" t="s">
        <v>1</v>
      </c>
      <c r="C1" s="8"/>
      <c r="D1" s="7"/>
      <c r="E1" s="9"/>
      <c r="F1" s="11"/>
      <c r="G1" s="11"/>
      <c r="H1" s="11"/>
      <c r="I1" s="11"/>
      <c r="J1" s="16"/>
      <c r="K1" s="14" t="s">
        <v>5</v>
      </c>
      <c r="L1" s="6"/>
      <c r="M1" s="6"/>
      <c r="N1" s="1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0.75" customHeight="1">
      <c r="A2" s="1"/>
      <c r="B2" s="23" t="s">
        <v>11</v>
      </c>
      <c r="C2" s="26" t="s">
        <v>15</v>
      </c>
      <c r="D2" s="7"/>
      <c r="E2" s="7"/>
      <c r="F2" s="7"/>
      <c r="G2" s="7"/>
      <c r="H2" s="7"/>
      <c r="I2" s="9"/>
      <c r="J2" s="29"/>
      <c r="K2" s="31" t="s">
        <v>9</v>
      </c>
      <c r="L2" s="25"/>
      <c r="M2" s="25"/>
      <c r="N2" s="33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53.25" customHeight="1">
      <c r="A3" s="27" t="s">
        <v>12</v>
      </c>
      <c r="B3" s="27" t="s">
        <v>35</v>
      </c>
      <c r="C3" s="27" t="s">
        <v>37</v>
      </c>
      <c r="D3" s="27" t="s">
        <v>38</v>
      </c>
      <c r="E3" s="27" t="s">
        <v>41</v>
      </c>
      <c r="F3" s="27" t="s">
        <v>46</v>
      </c>
      <c r="G3" s="27" t="s">
        <v>49</v>
      </c>
      <c r="H3" s="32" t="s">
        <v>52</v>
      </c>
      <c r="I3" s="9"/>
      <c r="J3" s="44" t="s">
        <v>55</v>
      </c>
      <c r="K3" s="7"/>
      <c r="L3" s="7"/>
      <c r="M3" s="7"/>
      <c r="N3" s="9"/>
      <c r="O3" s="44" t="s">
        <v>59</v>
      </c>
      <c r="P3" s="9"/>
      <c r="Q3" s="46" t="s">
        <v>64</v>
      </c>
      <c r="R3" s="44" t="s">
        <v>65</v>
      </c>
      <c r="S3" s="7"/>
      <c r="T3" s="9"/>
      <c r="U3" s="44" t="s">
        <v>67</v>
      </c>
      <c r="V3" s="7"/>
      <c r="W3" s="7"/>
      <c r="X3" s="7"/>
      <c r="Y3" s="7"/>
      <c r="Z3" s="9"/>
      <c r="AA3" s="44" t="s">
        <v>71</v>
      </c>
      <c r="AB3" s="9"/>
    </row>
    <row r="4" ht="53.25" customHeight="1">
      <c r="A4" s="48"/>
      <c r="B4" s="48"/>
      <c r="C4" s="48"/>
      <c r="D4" s="48"/>
      <c r="E4" s="48"/>
      <c r="F4" s="48"/>
      <c r="G4" s="48"/>
      <c r="H4" s="50" t="s">
        <v>77</v>
      </c>
      <c r="I4" s="50" t="s">
        <v>79</v>
      </c>
      <c r="J4" s="51" t="s">
        <v>81</v>
      </c>
      <c r="K4" s="7"/>
      <c r="L4" s="9"/>
      <c r="M4" s="51" t="s">
        <v>82</v>
      </c>
      <c r="N4" s="9"/>
      <c r="O4" s="50" t="s">
        <v>85</v>
      </c>
      <c r="P4" s="50" t="s">
        <v>86</v>
      </c>
      <c r="Q4" s="50" t="s">
        <v>87</v>
      </c>
      <c r="R4" s="50" t="s">
        <v>88</v>
      </c>
      <c r="S4" s="56" t="s">
        <v>89</v>
      </c>
      <c r="T4" s="56" t="s">
        <v>92</v>
      </c>
      <c r="U4" s="50" t="s">
        <v>93</v>
      </c>
      <c r="V4" s="56" t="s">
        <v>95</v>
      </c>
      <c r="W4" s="56" t="s">
        <v>97</v>
      </c>
      <c r="X4" s="56" t="s">
        <v>98</v>
      </c>
      <c r="Y4" s="56" t="s">
        <v>99</v>
      </c>
      <c r="Z4" s="56" t="s">
        <v>100</v>
      </c>
      <c r="AA4" s="50" t="s">
        <v>101</v>
      </c>
      <c r="AB4" s="56" t="s">
        <v>103</v>
      </c>
    </row>
    <row r="5" ht="53.25" customHeight="1">
      <c r="A5" s="40"/>
      <c r="B5" s="40"/>
      <c r="C5" s="40"/>
      <c r="D5" s="40"/>
      <c r="E5" s="40"/>
      <c r="F5" s="40"/>
      <c r="G5" s="40"/>
      <c r="H5" s="40"/>
      <c r="I5" s="40"/>
      <c r="J5" s="63" t="s">
        <v>105</v>
      </c>
      <c r="K5" s="63" t="s">
        <v>106</v>
      </c>
      <c r="L5" s="63" t="s">
        <v>107</v>
      </c>
      <c r="M5" s="63" t="s">
        <v>108</v>
      </c>
      <c r="N5" s="63" t="s">
        <v>109</v>
      </c>
      <c r="O5" s="40"/>
      <c r="P5" s="40"/>
      <c r="Q5" s="40"/>
      <c r="R5" s="40"/>
      <c r="S5" s="65"/>
      <c r="T5" s="65"/>
      <c r="U5" s="40"/>
      <c r="V5" s="65"/>
      <c r="W5" s="65"/>
      <c r="X5" s="65"/>
      <c r="Y5" s="65"/>
      <c r="Z5" s="65"/>
      <c r="AA5" s="40"/>
      <c r="AB5" s="65"/>
    </row>
    <row r="6" ht="15.75" customHeight="1">
      <c r="A6" s="67">
        <v>1.0</v>
      </c>
      <c r="B6" s="69" t="s">
        <v>3</v>
      </c>
      <c r="C6" s="69" t="s">
        <v>42</v>
      </c>
      <c r="D6" s="69" t="s">
        <v>94</v>
      </c>
      <c r="E6" s="70">
        <v>44816.0</v>
      </c>
      <c r="F6" s="71" t="s">
        <v>54</v>
      </c>
      <c r="G6" s="73" t="s">
        <v>114</v>
      </c>
      <c r="H6" s="75">
        <v>10.0</v>
      </c>
      <c r="I6" s="77" t="s">
        <v>116</v>
      </c>
      <c r="J6" s="79">
        <v>13.0</v>
      </c>
      <c r="K6" s="79">
        <v>7.0</v>
      </c>
      <c r="L6" s="79">
        <v>10.0</v>
      </c>
      <c r="M6" s="80">
        <v>1.0</v>
      </c>
      <c r="N6" s="80">
        <v>1.0</v>
      </c>
      <c r="O6" s="79">
        <v>9.0</v>
      </c>
      <c r="P6" s="79">
        <v>8.0</v>
      </c>
      <c r="Q6" s="82" t="s">
        <v>118</v>
      </c>
      <c r="R6" s="84" t="s">
        <v>40</v>
      </c>
      <c r="S6" s="84" t="s">
        <v>40</v>
      </c>
      <c r="T6" s="84" t="s">
        <v>40</v>
      </c>
      <c r="U6" s="86" t="s">
        <v>121</v>
      </c>
      <c r="V6" s="87">
        <v>2025.0</v>
      </c>
      <c r="W6" s="87">
        <v>3.0</v>
      </c>
      <c r="X6" s="88" t="s">
        <v>123</v>
      </c>
      <c r="Y6" s="88" t="s">
        <v>124</v>
      </c>
      <c r="Z6" s="86" t="s">
        <v>125</v>
      </c>
      <c r="AA6" s="79">
        <v>2.0</v>
      </c>
      <c r="AB6" s="58">
        <v>2.0</v>
      </c>
    </row>
    <row r="7" ht="15.75" customHeight="1">
      <c r="A7" s="67">
        <v>2.0</v>
      </c>
      <c r="B7" s="69" t="s">
        <v>126</v>
      </c>
      <c r="C7" s="69" t="s">
        <v>47</v>
      </c>
      <c r="D7" s="69" t="s">
        <v>94</v>
      </c>
      <c r="E7" s="70">
        <v>43354.0</v>
      </c>
      <c r="F7" s="69" t="s">
        <v>53</v>
      </c>
      <c r="G7" s="69" t="s">
        <v>128</v>
      </c>
      <c r="H7" s="75">
        <v>18.0</v>
      </c>
      <c r="I7" s="77" t="s">
        <v>129</v>
      </c>
      <c r="J7" s="80" t="s">
        <v>40</v>
      </c>
      <c r="K7" s="92" t="s">
        <v>40</v>
      </c>
      <c r="L7" s="92" t="s">
        <v>40</v>
      </c>
      <c r="M7" s="92" t="s">
        <v>40</v>
      </c>
      <c r="N7" s="92" t="s">
        <v>40</v>
      </c>
      <c r="O7" s="92" t="s">
        <v>40</v>
      </c>
      <c r="P7" s="92" t="s">
        <v>40</v>
      </c>
      <c r="Q7" s="94" t="s">
        <v>40</v>
      </c>
      <c r="R7" s="84" t="s">
        <v>40</v>
      </c>
      <c r="S7" s="84" t="s">
        <v>40</v>
      </c>
      <c r="T7" s="84" t="s">
        <v>40</v>
      </c>
      <c r="U7" s="96" t="s">
        <v>40</v>
      </c>
      <c r="V7" s="84" t="s">
        <v>40</v>
      </c>
      <c r="W7" s="84" t="s">
        <v>40</v>
      </c>
      <c r="X7" s="97" t="s">
        <v>40</v>
      </c>
      <c r="Y7" s="97" t="s">
        <v>40</v>
      </c>
      <c r="Z7" s="96" t="s">
        <v>40</v>
      </c>
      <c r="AA7" s="84" t="s">
        <v>40</v>
      </c>
      <c r="AB7" s="58" t="s">
        <v>40</v>
      </c>
    </row>
    <row r="8" ht="15.75" customHeight="1">
      <c r="A8" s="67">
        <v>3.0</v>
      </c>
      <c r="B8" s="69" t="s">
        <v>132</v>
      </c>
      <c r="C8" s="69" t="s">
        <v>47</v>
      </c>
      <c r="D8" s="69" t="s">
        <v>94</v>
      </c>
      <c r="E8" s="70">
        <v>43773.0</v>
      </c>
      <c r="F8" s="71" t="s">
        <v>54</v>
      </c>
      <c r="G8" s="69" t="s">
        <v>133</v>
      </c>
      <c r="H8" s="75">
        <v>19.0</v>
      </c>
      <c r="I8" s="77" t="s">
        <v>134</v>
      </c>
      <c r="J8" s="98">
        <v>12.0</v>
      </c>
      <c r="K8" s="98">
        <v>6.0</v>
      </c>
      <c r="L8" s="98">
        <v>1.0</v>
      </c>
      <c r="M8" s="92" t="s">
        <v>40</v>
      </c>
      <c r="N8" s="92" t="s">
        <v>40</v>
      </c>
      <c r="O8" s="79">
        <v>11.0</v>
      </c>
      <c r="P8" s="79">
        <v>11.0</v>
      </c>
      <c r="Q8" s="99" t="s">
        <v>135</v>
      </c>
      <c r="R8" s="84" t="s">
        <v>40</v>
      </c>
      <c r="S8" s="84" t="s">
        <v>40</v>
      </c>
      <c r="T8" s="84" t="s">
        <v>40</v>
      </c>
      <c r="U8" s="100" t="s">
        <v>136</v>
      </c>
      <c r="V8" s="87">
        <v>2023.0</v>
      </c>
      <c r="W8" s="101" t="s">
        <v>137</v>
      </c>
      <c r="X8" s="103" t="s">
        <v>138</v>
      </c>
      <c r="Y8" s="103" t="s">
        <v>139</v>
      </c>
      <c r="Z8" s="86" t="s">
        <v>125</v>
      </c>
      <c r="AA8" s="79">
        <v>2.0</v>
      </c>
      <c r="AB8" s="58" t="s">
        <v>40</v>
      </c>
    </row>
    <row r="9" ht="15.75" customHeight="1">
      <c r="A9" s="67">
        <v>4.0</v>
      </c>
      <c r="B9" s="107" t="s">
        <v>140</v>
      </c>
      <c r="C9" s="69" t="s">
        <v>47</v>
      </c>
      <c r="D9" s="69" t="s">
        <v>94</v>
      </c>
      <c r="E9" s="70">
        <v>43774.0</v>
      </c>
      <c r="F9" s="71" t="s">
        <v>54</v>
      </c>
      <c r="G9" s="69" t="s">
        <v>133</v>
      </c>
      <c r="H9" s="75">
        <v>18.0</v>
      </c>
      <c r="I9" s="77" t="s">
        <v>141</v>
      </c>
      <c r="J9" s="98">
        <v>6.0</v>
      </c>
      <c r="K9" s="84" t="s">
        <v>142</v>
      </c>
      <c r="L9" s="84" t="s">
        <v>143</v>
      </c>
      <c r="M9" s="92" t="s">
        <v>40</v>
      </c>
      <c r="N9" s="92" t="s">
        <v>40</v>
      </c>
      <c r="O9" s="80">
        <v>10.0</v>
      </c>
      <c r="P9" s="80">
        <v>10.0</v>
      </c>
      <c r="Q9" s="108" t="s">
        <v>144</v>
      </c>
      <c r="R9" s="84" t="s">
        <v>40</v>
      </c>
      <c r="S9" s="84" t="s">
        <v>40</v>
      </c>
      <c r="T9" s="84" t="s">
        <v>40</v>
      </c>
      <c r="U9" s="86" t="s">
        <v>145</v>
      </c>
      <c r="V9" s="87">
        <v>2022.0</v>
      </c>
      <c r="W9" s="109" t="s">
        <v>146</v>
      </c>
      <c r="X9" s="110" t="s">
        <v>147</v>
      </c>
      <c r="Y9" s="110" t="s">
        <v>147</v>
      </c>
      <c r="Z9" s="86" t="s">
        <v>148</v>
      </c>
      <c r="AA9" s="79">
        <v>4.0</v>
      </c>
      <c r="AB9" s="58" t="s">
        <v>149</v>
      </c>
    </row>
    <row r="10" ht="15.75" customHeight="1">
      <c r="A10" s="111"/>
      <c r="B10" s="112"/>
      <c r="C10" s="112"/>
      <c r="D10" s="112"/>
      <c r="E10" s="113"/>
      <c r="F10" s="112"/>
      <c r="G10" s="112"/>
      <c r="H10" s="114"/>
      <c r="I10" s="115"/>
      <c r="J10" s="116"/>
      <c r="K10" s="116"/>
      <c r="L10" s="116"/>
      <c r="M10" s="117"/>
      <c r="N10" s="117"/>
      <c r="O10" s="116"/>
      <c r="P10" s="116"/>
      <c r="Q10" s="118"/>
      <c r="R10" s="116"/>
      <c r="S10" s="116"/>
      <c r="T10" s="116"/>
      <c r="U10" s="86" t="s">
        <v>150</v>
      </c>
      <c r="V10" s="87">
        <v>2026.0</v>
      </c>
      <c r="W10" s="109" t="s">
        <v>137</v>
      </c>
      <c r="X10" s="110" t="s">
        <v>151</v>
      </c>
      <c r="Y10" s="110" t="s">
        <v>151</v>
      </c>
      <c r="Z10" s="86" t="s">
        <v>125</v>
      </c>
      <c r="AA10" s="116"/>
      <c r="AB10" s="83"/>
    </row>
    <row r="11" ht="15.75" customHeight="1">
      <c r="A11" s="52" t="str">
        <f t="shared" ref="A11:A55" si="1">IF(B11="","",ROW()-5)</f>
        <v/>
      </c>
      <c r="B11" s="81"/>
      <c r="C11" s="81"/>
      <c r="D11" s="81"/>
      <c r="E11" s="123"/>
      <c r="F11" s="81"/>
      <c r="G11" s="81"/>
      <c r="H11" s="124"/>
      <c r="I11" s="125"/>
      <c r="J11" s="83"/>
      <c r="K11" s="83"/>
      <c r="L11" s="83"/>
      <c r="M11" s="126"/>
      <c r="N11" s="126"/>
      <c r="O11" s="83"/>
      <c r="P11" s="83"/>
      <c r="Q11" s="91"/>
      <c r="R11" s="83"/>
      <c r="S11" s="83"/>
      <c r="T11" s="83"/>
      <c r="U11" s="91"/>
      <c r="V11" s="127"/>
      <c r="W11" s="127"/>
      <c r="X11" s="128"/>
      <c r="Y11" s="128"/>
      <c r="Z11" s="91"/>
      <c r="AA11" s="83"/>
      <c r="AB11" s="83"/>
    </row>
    <row r="12" ht="15.75" customHeight="1">
      <c r="A12" s="52" t="str">
        <f t="shared" si="1"/>
        <v/>
      </c>
      <c r="B12" s="81"/>
      <c r="C12" s="81"/>
      <c r="D12" s="81"/>
      <c r="E12" s="123"/>
      <c r="F12" s="81"/>
      <c r="G12" s="81"/>
      <c r="H12" s="124"/>
      <c r="I12" s="125"/>
      <c r="J12" s="83"/>
      <c r="K12" s="83"/>
      <c r="L12" s="83"/>
      <c r="M12" s="126"/>
      <c r="N12" s="126"/>
      <c r="O12" s="83"/>
      <c r="P12" s="83"/>
      <c r="Q12" s="91"/>
      <c r="R12" s="83"/>
      <c r="S12" s="83"/>
      <c r="T12" s="83"/>
      <c r="U12" s="91"/>
      <c r="V12" s="127"/>
      <c r="W12" s="127"/>
      <c r="X12" s="128"/>
      <c r="Y12" s="128"/>
      <c r="Z12" s="91"/>
      <c r="AA12" s="83"/>
      <c r="AB12" s="83"/>
    </row>
    <row r="13" ht="15.75" customHeight="1">
      <c r="A13" s="52" t="str">
        <f t="shared" si="1"/>
        <v/>
      </c>
      <c r="B13" s="81"/>
      <c r="C13" s="81"/>
      <c r="D13" s="81"/>
      <c r="E13" s="123"/>
      <c r="F13" s="81"/>
      <c r="G13" s="81"/>
      <c r="H13" s="124"/>
      <c r="I13" s="125"/>
      <c r="J13" s="83"/>
      <c r="K13" s="83"/>
      <c r="L13" s="83"/>
      <c r="M13" s="126"/>
      <c r="N13" s="126"/>
      <c r="O13" s="83"/>
      <c r="P13" s="83"/>
      <c r="Q13" s="91"/>
      <c r="R13" s="83"/>
      <c r="S13" s="83"/>
      <c r="T13" s="83"/>
      <c r="U13" s="91"/>
      <c r="V13" s="127"/>
      <c r="W13" s="127"/>
      <c r="X13" s="128"/>
      <c r="Y13" s="128"/>
      <c r="Z13" s="91"/>
      <c r="AA13" s="83"/>
      <c r="AB13" s="83"/>
    </row>
    <row r="14" ht="15.75" customHeight="1">
      <c r="A14" s="52" t="str">
        <f t="shared" si="1"/>
        <v/>
      </c>
      <c r="B14" s="81"/>
      <c r="C14" s="81"/>
      <c r="D14" s="81"/>
      <c r="E14" s="123"/>
      <c r="F14" s="81"/>
      <c r="G14" s="81"/>
      <c r="H14" s="124"/>
      <c r="I14" s="125"/>
      <c r="J14" s="83"/>
      <c r="K14" s="83"/>
      <c r="L14" s="83"/>
      <c r="M14" s="126"/>
      <c r="N14" s="126"/>
      <c r="O14" s="83"/>
      <c r="P14" s="83"/>
      <c r="Q14" s="91"/>
      <c r="R14" s="83"/>
      <c r="S14" s="83"/>
      <c r="T14" s="83"/>
      <c r="U14" s="91"/>
      <c r="V14" s="127"/>
      <c r="W14" s="127"/>
      <c r="X14" s="128"/>
      <c r="Y14" s="128"/>
      <c r="Z14" s="91"/>
      <c r="AA14" s="83"/>
      <c r="AB14" s="83"/>
    </row>
    <row r="15" ht="15.75" customHeight="1">
      <c r="A15" s="52" t="str">
        <f t="shared" si="1"/>
        <v/>
      </c>
      <c r="B15" s="81"/>
      <c r="C15" s="81"/>
      <c r="D15" s="81"/>
      <c r="E15" s="123"/>
      <c r="F15" s="81"/>
      <c r="G15" s="81"/>
      <c r="H15" s="124"/>
      <c r="I15" s="125"/>
      <c r="J15" s="83"/>
      <c r="K15" s="83"/>
      <c r="L15" s="83"/>
      <c r="M15" s="126"/>
      <c r="N15" s="126"/>
      <c r="O15" s="83"/>
      <c r="P15" s="83"/>
      <c r="Q15" s="91"/>
      <c r="R15" s="83"/>
      <c r="S15" s="83"/>
      <c r="T15" s="83"/>
      <c r="U15" s="91"/>
      <c r="V15" s="127"/>
      <c r="W15" s="127"/>
      <c r="X15" s="128"/>
      <c r="Y15" s="128"/>
      <c r="Z15" s="91"/>
      <c r="AA15" s="83"/>
      <c r="AB15" s="83"/>
    </row>
    <row r="16" ht="15.75" customHeight="1">
      <c r="A16" s="52" t="str">
        <f t="shared" si="1"/>
        <v/>
      </c>
      <c r="B16" s="81"/>
      <c r="C16" s="81"/>
      <c r="D16" s="81"/>
      <c r="E16" s="123"/>
      <c r="F16" s="81"/>
      <c r="G16" s="81"/>
      <c r="H16" s="124"/>
      <c r="I16" s="125"/>
      <c r="J16" s="83"/>
      <c r="K16" s="83"/>
      <c r="L16" s="83"/>
      <c r="M16" s="126"/>
      <c r="N16" s="126"/>
      <c r="O16" s="83"/>
      <c r="P16" s="83"/>
      <c r="Q16" s="91"/>
      <c r="R16" s="83"/>
      <c r="S16" s="83"/>
      <c r="T16" s="83"/>
      <c r="U16" s="91"/>
      <c r="V16" s="127"/>
      <c r="W16" s="127"/>
      <c r="X16" s="128"/>
      <c r="Y16" s="128"/>
      <c r="Z16" s="91"/>
      <c r="AA16" s="83"/>
      <c r="AB16" s="83"/>
    </row>
    <row r="17" ht="15.75" customHeight="1">
      <c r="A17" s="52" t="str">
        <f t="shared" si="1"/>
        <v/>
      </c>
      <c r="B17" s="81"/>
      <c r="C17" s="81"/>
      <c r="D17" s="81"/>
      <c r="E17" s="123"/>
      <c r="F17" s="81"/>
      <c r="G17" s="81"/>
      <c r="H17" s="124"/>
      <c r="I17" s="125"/>
      <c r="J17" s="83"/>
      <c r="K17" s="83"/>
      <c r="L17" s="83"/>
      <c r="M17" s="126"/>
      <c r="N17" s="126"/>
      <c r="O17" s="83"/>
      <c r="P17" s="83"/>
      <c r="Q17" s="91"/>
      <c r="R17" s="83"/>
      <c r="S17" s="83"/>
      <c r="T17" s="83"/>
      <c r="U17" s="91"/>
      <c r="V17" s="127"/>
      <c r="W17" s="127"/>
      <c r="X17" s="128"/>
      <c r="Y17" s="128"/>
      <c r="Z17" s="91"/>
      <c r="AA17" s="83"/>
      <c r="AB17" s="83"/>
    </row>
    <row r="18" ht="15.75" customHeight="1">
      <c r="A18" s="52" t="str">
        <f t="shared" si="1"/>
        <v/>
      </c>
      <c r="B18" s="81"/>
      <c r="C18" s="81"/>
      <c r="D18" s="81"/>
      <c r="E18" s="123"/>
      <c r="F18" s="81"/>
      <c r="G18" s="81"/>
      <c r="H18" s="124"/>
      <c r="I18" s="125"/>
      <c r="J18" s="83"/>
      <c r="K18" s="83"/>
      <c r="L18" s="83"/>
      <c r="M18" s="126"/>
      <c r="N18" s="126"/>
      <c r="O18" s="83"/>
      <c r="P18" s="83"/>
      <c r="Q18" s="91"/>
      <c r="R18" s="83"/>
      <c r="S18" s="83"/>
      <c r="T18" s="83"/>
      <c r="U18" s="91"/>
      <c r="V18" s="127"/>
      <c r="W18" s="127"/>
      <c r="X18" s="128"/>
      <c r="Y18" s="128"/>
      <c r="Z18" s="91"/>
      <c r="AA18" s="83"/>
      <c r="AB18" s="83"/>
    </row>
    <row r="19" ht="15.75" customHeight="1">
      <c r="A19" s="52" t="str">
        <f t="shared" si="1"/>
        <v/>
      </c>
      <c r="B19" s="81"/>
      <c r="C19" s="81"/>
      <c r="D19" s="81"/>
      <c r="E19" s="123"/>
      <c r="F19" s="81"/>
      <c r="G19" s="81"/>
      <c r="H19" s="124"/>
      <c r="I19" s="125"/>
      <c r="J19" s="83"/>
      <c r="K19" s="83"/>
      <c r="L19" s="83"/>
      <c r="M19" s="126"/>
      <c r="N19" s="126"/>
      <c r="O19" s="83"/>
      <c r="P19" s="83"/>
      <c r="Q19" s="91"/>
      <c r="R19" s="83"/>
      <c r="S19" s="83"/>
      <c r="T19" s="83"/>
      <c r="U19" s="91"/>
      <c r="V19" s="127"/>
      <c r="W19" s="127"/>
      <c r="X19" s="128"/>
      <c r="Y19" s="128"/>
      <c r="Z19" s="91"/>
      <c r="AA19" s="83"/>
      <c r="AB19" s="83"/>
    </row>
    <row r="20" ht="15.75" customHeight="1">
      <c r="A20" s="52" t="str">
        <f t="shared" si="1"/>
        <v/>
      </c>
      <c r="B20" s="81"/>
      <c r="C20" s="81"/>
      <c r="D20" s="81"/>
      <c r="E20" s="123"/>
      <c r="F20" s="81"/>
      <c r="G20" s="81"/>
      <c r="H20" s="124"/>
      <c r="I20" s="125"/>
      <c r="J20" s="83"/>
      <c r="K20" s="83"/>
      <c r="L20" s="83"/>
      <c r="M20" s="126"/>
      <c r="N20" s="126"/>
      <c r="O20" s="83"/>
      <c r="P20" s="83"/>
      <c r="Q20" s="91"/>
      <c r="R20" s="83"/>
      <c r="S20" s="83"/>
      <c r="T20" s="83"/>
      <c r="U20" s="91"/>
      <c r="V20" s="127"/>
      <c r="W20" s="127"/>
      <c r="X20" s="128"/>
      <c r="Y20" s="128"/>
      <c r="Z20" s="91"/>
      <c r="AA20" s="83"/>
      <c r="AB20" s="83"/>
    </row>
    <row r="21" ht="15.75" customHeight="1">
      <c r="A21" s="52" t="str">
        <f t="shared" si="1"/>
        <v/>
      </c>
      <c r="B21" s="81"/>
      <c r="C21" s="81"/>
      <c r="D21" s="81"/>
      <c r="E21" s="123"/>
      <c r="F21" s="81"/>
      <c r="G21" s="81"/>
      <c r="H21" s="124"/>
      <c r="I21" s="125"/>
      <c r="J21" s="83"/>
      <c r="K21" s="83"/>
      <c r="L21" s="83"/>
      <c r="M21" s="126"/>
      <c r="N21" s="126"/>
      <c r="O21" s="83"/>
      <c r="P21" s="83"/>
      <c r="Q21" s="91"/>
      <c r="R21" s="83"/>
      <c r="S21" s="83"/>
      <c r="T21" s="83"/>
      <c r="U21" s="91"/>
      <c r="V21" s="127"/>
      <c r="W21" s="127"/>
      <c r="X21" s="128"/>
      <c r="Y21" s="128"/>
      <c r="Z21" s="91"/>
      <c r="AA21" s="83"/>
      <c r="AB21" s="83"/>
    </row>
    <row r="22" ht="15.75" customHeight="1">
      <c r="A22" s="52" t="str">
        <f t="shared" si="1"/>
        <v/>
      </c>
      <c r="B22" s="81"/>
      <c r="C22" s="81"/>
      <c r="D22" s="81"/>
      <c r="E22" s="123"/>
      <c r="F22" s="81"/>
      <c r="G22" s="81"/>
      <c r="H22" s="124"/>
      <c r="I22" s="125"/>
      <c r="J22" s="83"/>
      <c r="K22" s="83"/>
      <c r="L22" s="83"/>
      <c r="M22" s="126"/>
      <c r="N22" s="126"/>
      <c r="O22" s="83"/>
      <c r="P22" s="83"/>
      <c r="Q22" s="91"/>
      <c r="R22" s="83"/>
      <c r="S22" s="83"/>
      <c r="T22" s="83"/>
      <c r="U22" s="91"/>
      <c r="V22" s="127"/>
      <c r="W22" s="127"/>
      <c r="X22" s="128"/>
      <c r="Y22" s="128"/>
      <c r="Z22" s="91"/>
      <c r="AA22" s="83"/>
      <c r="AB22" s="83"/>
    </row>
    <row r="23" ht="15.75" customHeight="1">
      <c r="A23" s="52" t="str">
        <f t="shared" si="1"/>
        <v/>
      </c>
      <c r="B23" s="81"/>
      <c r="C23" s="81"/>
      <c r="D23" s="81"/>
      <c r="E23" s="123"/>
      <c r="F23" s="81"/>
      <c r="G23" s="81"/>
      <c r="H23" s="124"/>
      <c r="I23" s="125"/>
      <c r="J23" s="83"/>
      <c r="K23" s="83"/>
      <c r="L23" s="83"/>
      <c r="M23" s="126"/>
      <c r="N23" s="126"/>
      <c r="O23" s="83"/>
      <c r="P23" s="83"/>
      <c r="Q23" s="91"/>
      <c r="R23" s="83"/>
      <c r="S23" s="83"/>
      <c r="T23" s="83"/>
      <c r="U23" s="91"/>
      <c r="V23" s="127"/>
      <c r="W23" s="127"/>
      <c r="X23" s="128"/>
      <c r="Y23" s="128"/>
      <c r="Z23" s="91"/>
      <c r="AA23" s="83"/>
      <c r="AB23" s="83"/>
    </row>
    <row r="24" ht="15.75" customHeight="1">
      <c r="A24" s="52" t="str">
        <f t="shared" si="1"/>
        <v/>
      </c>
      <c r="B24" s="81"/>
      <c r="C24" s="81"/>
      <c r="D24" s="81"/>
      <c r="E24" s="123"/>
      <c r="F24" s="81"/>
      <c r="G24" s="81"/>
      <c r="H24" s="124"/>
      <c r="I24" s="125"/>
      <c r="J24" s="83"/>
      <c r="K24" s="83"/>
      <c r="L24" s="83"/>
      <c r="M24" s="126"/>
      <c r="N24" s="126"/>
      <c r="O24" s="83"/>
      <c r="P24" s="83"/>
      <c r="Q24" s="91"/>
      <c r="R24" s="83"/>
      <c r="S24" s="83"/>
      <c r="T24" s="83"/>
      <c r="U24" s="91"/>
      <c r="V24" s="127"/>
      <c r="W24" s="127"/>
      <c r="X24" s="128"/>
      <c r="Y24" s="128"/>
      <c r="Z24" s="91"/>
      <c r="AA24" s="83"/>
      <c r="AB24" s="83"/>
    </row>
    <row r="25" ht="15.75" customHeight="1">
      <c r="A25" s="52" t="str">
        <f t="shared" si="1"/>
        <v/>
      </c>
      <c r="B25" s="81"/>
      <c r="C25" s="81"/>
      <c r="D25" s="81"/>
      <c r="E25" s="123"/>
      <c r="F25" s="81"/>
      <c r="G25" s="81"/>
      <c r="H25" s="124"/>
      <c r="I25" s="125"/>
      <c r="J25" s="83"/>
      <c r="K25" s="83"/>
      <c r="L25" s="83"/>
      <c r="M25" s="126"/>
      <c r="N25" s="126"/>
      <c r="O25" s="83"/>
      <c r="P25" s="83"/>
      <c r="Q25" s="91"/>
      <c r="R25" s="83"/>
      <c r="S25" s="83"/>
      <c r="T25" s="83"/>
      <c r="U25" s="91"/>
      <c r="V25" s="127"/>
      <c r="W25" s="127"/>
      <c r="X25" s="128"/>
      <c r="Y25" s="128"/>
      <c r="Z25" s="91"/>
      <c r="AA25" s="83"/>
      <c r="AB25" s="83"/>
    </row>
    <row r="26" ht="15.75" customHeight="1">
      <c r="A26" s="102" t="str">
        <f t="shared" si="1"/>
        <v/>
      </c>
      <c r="B26" s="104"/>
      <c r="C26" s="104"/>
      <c r="D26" s="104"/>
      <c r="E26" s="145"/>
      <c r="F26" s="104"/>
      <c r="G26" s="104"/>
      <c r="H26" s="105"/>
      <c r="I26" s="104"/>
      <c r="J26" s="105"/>
      <c r="K26" s="105"/>
      <c r="L26" s="105"/>
      <c r="M26" s="105"/>
      <c r="N26" s="105"/>
      <c r="O26" s="105"/>
      <c r="P26" s="105"/>
      <c r="Q26" s="104"/>
      <c r="R26" s="105"/>
      <c r="S26" s="105"/>
      <c r="T26" s="105"/>
      <c r="U26" s="104"/>
      <c r="V26" s="105"/>
      <c r="W26" s="105"/>
      <c r="X26" s="140"/>
      <c r="Y26" s="140"/>
      <c r="Z26" s="104"/>
      <c r="AA26" s="105"/>
      <c r="AB26" s="169"/>
    </row>
    <row r="27" ht="15.75" customHeight="1">
      <c r="A27" s="102" t="str">
        <f t="shared" si="1"/>
        <v/>
      </c>
      <c r="B27" s="104"/>
      <c r="C27" s="104"/>
      <c r="D27" s="104"/>
      <c r="E27" s="145"/>
      <c r="F27" s="104"/>
      <c r="G27" s="104"/>
      <c r="H27" s="105"/>
      <c r="I27" s="104"/>
      <c r="J27" s="105"/>
      <c r="K27" s="105"/>
      <c r="L27" s="105"/>
      <c r="M27" s="105"/>
      <c r="N27" s="105"/>
      <c r="O27" s="105"/>
      <c r="P27" s="105"/>
      <c r="Q27" s="104"/>
      <c r="R27" s="105"/>
      <c r="S27" s="105"/>
      <c r="T27" s="105"/>
      <c r="U27" s="104"/>
      <c r="V27" s="105"/>
      <c r="W27" s="105"/>
      <c r="X27" s="140"/>
      <c r="Y27" s="140"/>
      <c r="Z27" s="104"/>
      <c r="AA27" s="105"/>
      <c r="AB27" s="169"/>
    </row>
    <row r="28" ht="15.75" customHeight="1">
      <c r="A28" s="102" t="str">
        <f t="shared" si="1"/>
        <v/>
      </c>
      <c r="B28" s="104"/>
      <c r="C28" s="104"/>
      <c r="D28" s="104"/>
      <c r="E28" s="145"/>
      <c r="F28" s="104"/>
      <c r="G28" s="104"/>
      <c r="H28" s="105"/>
      <c r="I28" s="104"/>
      <c r="J28" s="105"/>
      <c r="K28" s="105"/>
      <c r="L28" s="105"/>
      <c r="M28" s="105"/>
      <c r="N28" s="105"/>
      <c r="O28" s="105"/>
      <c r="P28" s="105"/>
      <c r="Q28" s="104"/>
      <c r="R28" s="105"/>
      <c r="S28" s="105"/>
      <c r="T28" s="105"/>
      <c r="U28" s="104"/>
      <c r="V28" s="105"/>
      <c r="W28" s="105"/>
      <c r="X28" s="140"/>
      <c r="Y28" s="140"/>
      <c r="Z28" s="104"/>
      <c r="AA28" s="105"/>
      <c r="AB28" s="169"/>
    </row>
    <row r="29" ht="15.75" customHeight="1">
      <c r="A29" s="102" t="str">
        <f t="shared" si="1"/>
        <v/>
      </c>
      <c r="B29" s="104"/>
      <c r="C29" s="104"/>
      <c r="D29" s="104"/>
      <c r="E29" s="145"/>
      <c r="F29" s="104"/>
      <c r="G29" s="104"/>
      <c r="H29" s="105"/>
      <c r="I29" s="104"/>
      <c r="J29" s="105"/>
      <c r="K29" s="105"/>
      <c r="L29" s="105"/>
      <c r="M29" s="105"/>
      <c r="N29" s="105"/>
      <c r="O29" s="105"/>
      <c r="P29" s="105"/>
      <c r="Q29" s="104"/>
      <c r="R29" s="105"/>
      <c r="S29" s="105"/>
      <c r="T29" s="105"/>
      <c r="U29" s="104"/>
      <c r="V29" s="105"/>
      <c r="W29" s="105"/>
      <c r="X29" s="140"/>
      <c r="Y29" s="140"/>
      <c r="Z29" s="104"/>
      <c r="AA29" s="105"/>
      <c r="AB29" s="169"/>
    </row>
    <row r="30" ht="15.75" customHeight="1">
      <c r="A30" s="102" t="str">
        <f t="shared" si="1"/>
        <v/>
      </c>
      <c r="B30" s="104"/>
      <c r="C30" s="104"/>
      <c r="D30" s="104"/>
      <c r="E30" s="145"/>
      <c r="F30" s="104"/>
      <c r="G30" s="104"/>
      <c r="H30" s="105"/>
      <c r="I30" s="104"/>
      <c r="J30" s="105"/>
      <c r="K30" s="105"/>
      <c r="L30" s="105"/>
      <c r="M30" s="105"/>
      <c r="N30" s="105"/>
      <c r="O30" s="105"/>
      <c r="P30" s="105"/>
      <c r="Q30" s="104"/>
      <c r="R30" s="105"/>
      <c r="S30" s="105"/>
      <c r="T30" s="105"/>
      <c r="U30" s="104"/>
      <c r="V30" s="105"/>
      <c r="W30" s="105"/>
      <c r="X30" s="140"/>
      <c r="Y30" s="140"/>
      <c r="Z30" s="104"/>
      <c r="AA30" s="105"/>
      <c r="AB30" s="169"/>
    </row>
    <row r="31" ht="15.75" customHeight="1">
      <c r="A31" s="102" t="str">
        <f t="shared" si="1"/>
        <v/>
      </c>
      <c r="B31" s="104"/>
      <c r="C31" s="104"/>
      <c r="D31" s="104"/>
      <c r="E31" s="145"/>
      <c r="F31" s="104"/>
      <c r="G31" s="104"/>
      <c r="H31" s="105"/>
      <c r="I31" s="104"/>
      <c r="J31" s="105"/>
      <c r="K31" s="105"/>
      <c r="L31" s="105"/>
      <c r="M31" s="105"/>
      <c r="N31" s="105"/>
      <c r="O31" s="105"/>
      <c r="P31" s="105"/>
      <c r="Q31" s="104"/>
      <c r="R31" s="105"/>
      <c r="S31" s="105"/>
      <c r="T31" s="105"/>
      <c r="U31" s="104"/>
      <c r="V31" s="105"/>
      <c r="W31" s="105"/>
      <c r="X31" s="140"/>
      <c r="Y31" s="140"/>
      <c r="Z31" s="104"/>
      <c r="AA31" s="105"/>
      <c r="AB31" s="169"/>
    </row>
    <row r="32" ht="15.75" customHeight="1">
      <c r="A32" s="102" t="str">
        <f t="shared" si="1"/>
        <v/>
      </c>
      <c r="B32" s="104"/>
      <c r="C32" s="104"/>
      <c r="D32" s="104"/>
      <c r="E32" s="145"/>
      <c r="F32" s="104"/>
      <c r="G32" s="104"/>
      <c r="H32" s="105"/>
      <c r="I32" s="104"/>
      <c r="J32" s="105"/>
      <c r="K32" s="105"/>
      <c r="L32" s="105"/>
      <c r="M32" s="105"/>
      <c r="N32" s="105"/>
      <c r="O32" s="105"/>
      <c r="P32" s="105"/>
      <c r="Q32" s="104"/>
      <c r="R32" s="105"/>
      <c r="S32" s="105"/>
      <c r="T32" s="105"/>
      <c r="U32" s="104"/>
      <c r="V32" s="105"/>
      <c r="W32" s="105"/>
      <c r="X32" s="140"/>
      <c r="Y32" s="140"/>
      <c r="Z32" s="104"/>
      <c r="AA32" s="105"/>
      <c r="AB32" s="169"/>
    </row>
    <row r="33" ht="15.75" customHeight="1">
      <c r="A33" s="102" t="str">
        <f t="shared" si="1"/>
        <v/>
      </c>
      <c r="B33" s="104"/>
      <c r="C33" s="104"/>
      <c r="D33" s="104"/>
      <c r="E33" s="145"/>
      <c r="F33" s="104"/>
      <c r="G33" s="104"/>
      <c r="H33" s="105"/>
      <c r="I33" s="104"/>
      <c r="J33" s="105"/>
      <c r="K33" s="105"/>
      <c r="L33" s="105"/>
      <c r="M33" s="105"/>
      <c r="N33" s="105"/>
      <c r="O33" s="105"/>
      <c r="P33" s="105"/>
      <c r="Q33" s="104"/>
      <c r="R33" s="105"/>
      <c r="S33" s="105"/>
      <c r="T33" s="105"/>
      <c r="U33" s="104"/>
      <c r="V33" s="105"/>
      <c r="W33" s="105"/>
      <c r="X33" s="140"/>
      <c r="Y33" s="140"/>
      <c r="Z33" s="104"/>
      <c r="AA33" s="105"/>
      <c r="AB33" s="169"/>
    </row>
    <row r="34" ht="15.75" customHeight="1">
      <c r="A34" s="102" t="str">
        <f t="shared" si="1"/>
        <v/>
      </c>
      <c r="B34" s="104"/>
      <c r="C34" s="104"/>
      <c r="D34" s="104"/>
      <c r="E34" s="145"/>
      <c r="F34" s="104"/>
      <c r="G34" s="104"/>
      <c r="H34" s="105"/>
      <c r="I34" s="104"/>
      <c r="J34" s="105"/>
      <c r="K34" s="105"/>
      <c r="L34" s="105"/>
      <c r="M34" s="105"/>
      <c r="N34" s="105"/>
      <c r="O34" s="105"/>
      <c r="P34" s="105"/>
      <c r="Q34" s="104"/>
      <c r="R34" s="105"/>
      <c r="S34" s="105"/>
      <c r="T34" s="105"/>
      <c r="U34" s="104"/>
      <c r="V34" s="105"/>
      <c r="W34" s="105"/>
      <c r="X34" s="140"/>
      <c r="Y34" s="140"/>
      <c r="Z34" s="104"/>
      <c r="AA34" s="105"/>
      <c r="AB34" s="169"/>
    </row>
    <row r="35" ht="15.75" customHeight="1">
      <c r="A35" s="102" t="str">
        <f t="shared" si="1"/>
        <v/>
      </c>
      <c r="B35" s="104"/>
      <c r="C35" s="104"/>
      <c r="D35" s="104"/>
      <c r="E35" s="145"/>
      <c r="F35" s="104"/>
      <c r="G35" s="104"/>
      <c r="H35" s="105"/>
      <c r="I35" s="104"/>
      <c r="J35" s="105"/>
      <c r="K35" s="105"/>
      <c r="L35" s="105"/>
      <c r="M35" s="105"/>
      <c r="N35" s="105"/>
      <c r="O35" s="105"/>
      <c r="P35" s="105"/>
      <c r="Q35" s="104"/>
      <c r="R35" s="105"/>
      <c r="S35" s="105"/>
      <c r="T35" s="105"/>
      <c r="U35" s="104"/>
      <c r="V35" s="105"/>
      <c r="W35" s="105"/>
      <c r="X35" s="140"/>
      <c r="Y35" s="140"/>
      <c r="Z35" s="104"/>
      <c r="AA35" s="105"/>
      <c r="AB35" s="169"/>
    </row>
    <row r="36" ht="15.75" customHeight="1">
      <c r="A36" s="102" t="str">
        <f t="shared" si="1"/>
        <v/>
      </c>
      <c r="B36" s="104"/>
      <c r="C36" s="104"/>
      <c r="D36" s="104"/>
      <c r="E36" s="145"/>
      <c r="F36" s="104"/>
      <c r="G36" s="104"/>
      <c r="H36" s="105"/>
      <c r="I36" s="104"/>
      <c r="J36" s="105"/>
      <c r="K36" s="105"/>
      <c r="L36" s="105"/>
      <c r="M36" s="105"/>
      <c r="N36" s="105"/>
      <c r="O36" s="105"/>
      <c r="P36" s="105"/>
      <c r="Q36" s="104"/>
      <c r="R36" s="105"/>
      <c r="S36" s="105"/>
      <c r="T36" s="105"/>
      <c r="U36" s="104"/>
      <c r="V36" s="105"/>
      <c r="W36" s="105"/>
      <c r="X36" s="140"/>
      <c r="Y36" s="140"/>
      <c r="Z36" s="104"/>
      <c r="AA36" s="105"/>
      <c r="AB36" s="169"/>
    </row>
    <row r="37" ht="15.75" customHeight="1">
      <c r="A37" s="102" t="str">
        <f t="shared" si="1"/>
        <v/>
      </c>
      <c r="B37" s="104"/>
      <c r="C37" s="104"/>
      <c r="D37" s="104"/>
      <c r="E37" s="145"/>
      <c r="F37" s="104"/>
      <c r="G37" s="104"/>
      <c r="H37" s="105"/>
      <c r="I37" s="104"/>
      <c r="J37" s="105"/>
      <c r="K37" s="105"/>
      <c r="L37" s="105"/>
      <c r="M37" s="105"/>
      <c r="N37" s="105"/>
      <c r="O37" s="105"/>
      <c r="P37" s="105"/>
      <c r="Q37" s="104"/>
      <c r="R37" s="105"/>
      <c r="S37" s="105"/>
      <c r="T37" s="105"/>
      <c r="U37" s="104"/>
      <c r="V37" s="105"/>
      <c r="W37" s="105"/>
      <c r="X37" s="140"/>
      <c r="Y37" s="140"/>
      <c r="Z37" s="104"/>
      <c r="AA37" s="105"/>
      <c r="AB37" s="169"/>
    </row>
    <row r="38" ht="15.75" customHeight="1">
      <c r="A38" s="102" t="str">
        <f t="shared" si="1"/>
        <v/>
      </c>
      <c r="B38" s="104"/>
      <c r="C38" s="104"/>
      <c r="D38" s="104"/>
      <c r="E38" s="145"/>
      <c r="F38" s="104"/>
      <c r="G38" s="104"/>
      <c r="H38" s="105"/>
      <c r="I38" s="104"/>
      <c r="J38" s="105"/>
      <c r="K38" s="105"/>
      <c r="L38" s="105"/>
      <c r="M38" s="105"/>
      <c r="N38" s="105"/>
      <c r="O38" s="105"/>
      <c r="P38" s="105"/>
      <c r="Q38" s="104"/>
      <c r="R38" s="105"/>
      <c r="S38" s="105"/>
      <c r="T38" s="105"/>
      <c r="U38" s="104"/>
      <c r="V38" s="105"/>
      <c r="W38" s="105"/>
      <c r="X38" s="140"/>
      <c r="Y38" s="140"/>
      <c r="Z38" s="104"/>
      <c r="AA38" s="105"/>
      <c r="AB38" s="169"/>
    </row>
    <row r="39" ht="15.75" customHeight="1">
      <c r="A39" s="102" t="str">
        <f t="shared" si="1"/>
        <v/>
      </c>
      <c r="B39" s="104"/>
      <c r="C39" s="104"/>
      <c r="D39" s="104"/>
      <c r="E39" s="145"/>
      <c r="F39" s="104"/>
      <c r="G39" s="104"/>
      <c r="H39" s="105"/>
      <c r="I39" s="104"/>
      <c r="J39" s="105"/>
      <c r="K39" s="105"/>
      <c r="L39" s="105"/>
      <c r="M39" s="105"/>
      <c r="N39" s="105"/>
      <c r="O39" s="105"/>
      <c r="P39" s="105"/>
      <c r="Q39" s="104"/>
      <c r="R39" s="105"/>
      <c r="S39" s="105"/>
      <c r="T39" s="105"/>
      <c r="U39" s="104"/>
      <c r="V39" s="105"/>
      <c r="W39" s="105"/>
      <c r="X39" s="140"/>
      <c r="Y39" s="140"/>
      <c r="Z39" s="104"/>
      <c r="AA39" s="105"/>
      <c r="AB39" s="169"/>
    </row>
    <row r="40" ht="15.75" customHeight="1">
      <c r="A40" s="102" t="str">
        <f t="shared" si="1"/>
        <v/>
      </c>
      <c r="B40" s="104"/>
      <c r="C40" s="104"/>
      <c r="D40" s="104"/>
      <c r="E40" s="145"/>
      <c r="F40" s="104"/>
      <c r="G40" s="104"/>
      <c r="H40" s="105"/>
      <c r="I40" s="104"/>
      <c r="J40" s="105"/>
      <c r="K40" s="105"/>
      <c r="L40" s="105"/>
      <c r="M40" s="105"/>
      <c r="N40" s="105"/>
      <c r="O40" s="105"/>
      <c r="P40" s="105"/>
      <c r="Q40" s="104"/>
      <c r="R40" s="105"/>
      <c r="S40" s="105"/>
      <c r="T40" s="105"/>
      <c r="U40" s="104"/>
      <c r="V40" s="105"/>
      <c r="W40" s="105"/>
      <c r="X40" s="140"/>
      <c r="Y40" s="140"/>
      <c r="Z40" s="104"/>
      <c r="AA40" s="105"/>
      <c r="AB40" s="169"/>
    </row>
    <row r="41" ht="15.75" customHeight="1">
      <c r="A41" s="102" t="str">
        <f t="shared" si="1"/>
        <v/>
      </c>
      <c r="B41" s="104"/>
      <c r="C41" s="104"/>
      <c r="D41" s="104"/>
      <c r="E41" s="145"/>
      <c r="F41" s="104"/>
      <c r="G41" s="104"/>
      <c r="H41" s="105"/>
      <c r="I41" s="104"/>
      <c r="J41" s="105"/>
      <c r="K41" s="105"/>
      <c r="L41" s="105"/>
      <c r="M41" s="105"/>
      <c r="N41" s="105"/>
      <c r="O41" s="105"/>
      <c r="P41" s="105"/>
      <c r="Q41" s="104"/>
      <c r="R41" s="105"/>
      <c r="S41" s="105"/>
      <c r="T41" s="105"/>
      <c r="U41" s="104"/>
      <c r="V41" s="105"/>
      <c r="W41" s="105"/>
      <c r="X41" s="140"/>
      <c r="Y41" s="140"/>
      <c r="Z41" s="104"/>
      <c r="AA41" s="105"/>
      <c r="AB41" s="169"/>
    </row>
    <row r="42" ht="15.75" customHeight="1">
      <c r="A42" s="102" t="str">
        <f t="shared" si="1"/>
        <v/>
      </c>
      <c r="B42" s="104"/>
      <c r="C42" s="104"/>
      <c r="D42" s="104"/>
      <c r="E42" s="145"/>
      <c r="F42" s="104"/>
      <c r="G42" s="104"/>
      <c r="H42" s="105"/>
      <c r="I42" s="104"/>
      <c r="J42" s="105"/>
      <c r="K42" s="105"/>
      <c r="L42" s="105"/>
      <c r="M42" s="105"/>
      <c r="N42" s="105"/>
      <c r="O42" s="105"/>
      <c r="P42" s="105"/>
      <c r="Q42" s="104"/>
      <c r="R42" s="105"/>
      <c r="S42" s="105"/>
      <c r="T42" s="105"/>
      <c r="U42" s="104"/>
      <c r="V42" s="105"/>
      <c r="W42" s="105"/>
      <c r="X42" s="140"/>
      <c r="Y42" s="140"/>
      <c r="Z42" s="104"/>
      <c r="AA42" s="105"/>
      <c r="AB42" s="169"/>
    </row>
    <row r="43" ht="15.75" customHeight="1">
      <c r="A43" s="102" t="str">
        <f t="shared" si="1"/>
        <v/>
      </c>
      <c r="B43" s="104"/>
      <c r="C43" s="104"/>
      <c r="D43" s="104"/>
      <c r="E43" s="145"/>
      <c r="F43" s="104"/>
      <c r="G43" s="104"/>
      <c r="H43" s="105"/>
      <c r="I43" s="104"/>
      <c r="J43" s="105"/>
      <c r="K43" s="105"/>
      <c r="L43" s="105"/>
      <c r="M43" s="105"/>
      <c r="N43" s="105"/>
      <c r="O43" s="105"/>
      <c r="P43" s="105"/>
      <c r="Q43" s="104"/>
      <c r="R43" s="105"/>
      <c r="S43" s="105"/>
      <c r="T43" s="105"/>
      <c r="U43" s="104"/>
      <c r="V43" s="105"/>
      <c r="W43" s="105"/>
      <c r="X43" s="140"/>
      <c r="Y43" s="140"/>
      <c r="Z43" s="104"/>
      <c r="AA43" s="105"/>
      <c r="AB43" s="169"/>
    </row>
    <row r="44" ht="15.75" customHeight="1">
      <c r="A44" s="102" t="str">
        <f t="shared" si="1"/>
        <v/>
      </c>
      <c r="B44" s="104"/>
      <c r="C44" s="104"/>
      <c r="D44" s="104"/>
      <c r="E44" s="145"/>
      <c r="F44" s="104"/>
      <c r="G44" s="104"/>
      <c r="H44" s="105"/>
      <c r="I44" s="104"/>
      <c r="J44" s="105"/>
      <c r="K44" s="105"/>
      <c r="L44" s="105"/>
      <c r="M44" s="105"/>
      <c r="N44" s="105"/>
      <c r="O44" s="105"/>
      <c r="P44" s="105"/>
      <c r="Q44" s="104"/>
      <c r="R44" s="105"/>
      <c r="S44" s="105"/>
      <c r="T44" s="105"/>
      <c r="U44" s="104"/>
      <c r="V44" s="105"/>
      <c r="W44" s="105"/>
      <c r="X44" s="140"/>
      <c r="Y44" s="140"/>
      <c r="Z44" s="104"/>
      <c r="AA44" s="105"/>
      <c r="AB44" s="169"/>
    </row>
    <row r="45" ht="15.75" customHeight="1">
      <c r="A45" s="102" t="str">
        <f t="shared" si="1"/>
        <v/>
      </c>
      <c r="B45" s="104"/>
      <c r="C45" s="104"/>
      <c r="D45" s="104"/>
      <c r="E45" s="145"/>
      <c r="F45" s="104"/>
      <c r="G45" s="104"/>
      <c r="H45" s="105"/>
      <c r="I45" s="104"/>
      <c r="J45" s="105"/>
      <c r="K45" s="105"/>
      <c r="L45" s="105"/>
      <c r="M45" s="105"/>
      <c r="N45" s="105"/>
      <c r="O45" s="105"/>
      <c r="P45" s="105"/>
      <c r="Q45" s="104"/>
      <c r="R45" s="105"/>
      <c r="S45" s="105"/>
      <c r="T45" s="105"/>
      <c r="U45" s="104"/>
      <c r="V45" s="105"/>
      <c r="W45" s="105"/>
      <c r="X45" s="140"/>
      <c r="Y45" s="140"/>
      <c r="Z45" s="104"/>
      <c r="AA45" s="105"/>
      <c r="AB45" s="169"/>
    </row>
    <row r="46" ht="15.75" customHeight="1">
      <c r="A46" s="102" t="str">
        <f t="shared" si="1"/>
        <v/>
      </c>
      <c r="B46" s="104"/>
      <c r="C46" s="104"/>
      <c r="D46" s="104"/>
      <c r="E46" s="145"/>
      <c r="F46" s="104"/>
      <c r="G46" s="104"/>
      <c r="H46" s="105"/>
      <c r="I46" s="104"/>
      <c r="J46" s="105"/>
      <c r="K46" s="105"/>
      <c r="L46" s="105"/>
      <c r="M46" s="105"/>
      <c r="N46" s="105"/>
      <c r="O46" s="105"/>
      <c r="P46" s="105"/>
      <c r="Q46" s="104"/>
      <c r="R46" s="105"/>
      <c r="S46" s="105"/>
      <c r="T46" s="105"/>
      <c r="U46" s="104"/>
      <c r="V46" s="105"/>
      <c r="W46" s="105"/>
      <c r="X46" s="140"/>
      <c r="Y46" s="140"/>
      <c r="Z46" s="104"/>
      <c r="AA46" s="105"/>
      <c r="AB46" s="169"/>
    </row>
    <row r="47" ht="15.75" customHeight="1">
      <c r="A47" s="102" t="str">
        <f t="shared" si="1"/>
        <v/>
      </c>
      <c r="B47" s="104"/>
      <c r="C47" s="104"/>
      <c r="D47" s="104"/>
      <c r="E47" s="145"/>
      <c r="F47" s="104"/>
      <c r="G47" s="104"/>
      <c r="H47" s="105"/>
      <c r="I47" s="104"/>
      <c r="J47" s="105"/>
      <c r="K47" s="105"/>
      <c r="L47" s="105"/>
      <c r="M47" s="105"/>
      <c r="N47" s="105"/>
      <c r="O47" s="105"/>
      <c r="P47" s="105"/>
      <c r="Q47" s="104"/>
      <c r="R47" s="105"/>
      <c r="S47" s="105"/>
      <c r="T47" s="105"/>
      <c r="U47" s="104"/>
      <c r="V47" s="105"/>
      <c r="W47" s="105"/>
      <c r="X47" s="140"/>
      <c r="Y47" s="140"/>
      <c r="Z47" s="104"/>
      <c r="AA47" s="105"/>
      <c r="AB47" s="169"/>
    </row>
    <row r="48" ht="15.75" customHeight="1">
      <c r="A48" s="102" t="str">
        <f t="shared" si="1"/>
        <v/>
      </c>
      <c r="B48" s="104"/>
      <c r="C48" s="104"/>
      <c r="D48" s="104"/>
      <c r="E48" s="145"/>
      <c r="F48" s="104"/>
      <c r="G48" s="104"/>
      <c r="H48" s="105"/>
      <c r="I48" s="104"/>
      <c r="J48" s="105"/>
      <c r="K48" s="105"/>
      <c r="L48" s="105"/>
      <c r="M48" s="105"/>
      <c r="N48" s="105"/>
      <c r="O48" s="105"/>
      <c r="P48" s="105"/>
      <c r="Q48" s="104"/>
      <c r="R48" s="105"/>
      <c r="S48" s="105"/>
      <c r="T48" s="105"/>
      <c r="U48" s="104"/>
      <c r="V48" s="105"/>
      <c r="W48" s="105"/>
      <c r="X48" s="140"/>
      <c r="Y48" s="140"/>
      <c r="Z48" s="104"/>
      <c r="AA48" s="105"/>
      <c r="AB48" s="169"/>
    </row>
    <row r="49" ht="15.75" customHeight="1">
      <c r="A49" s="102" t="str">
        <f t="shared" si="1"/>
        <v/>
      </c>
      <c r="B49" s="104"/>
      <c r="C49" s="104"/>
      <c r="D49" s="104"/>
      <c r="E49" s="145"/>
      <c r="F49" s="104"/>
      <c r="G49" s="104"/>
      <c r="H49" s="105"/>
      <c r="I49" s="104"/>
      <c r="J49" s="105"/>
      <c r="K49" s="105"/>
      <c r="L49" s="105"/>
      <c r="M49" s="105"/>
      <c r="N49" s="105"/>
      <c r="O49" s="105"/>
      <c r="P49" s="105"/>
      <c r="Q49" s="104"/>
      <c r="R49" s="105"/>
      <c r="S49" s="105"/>
      <c r="T49" s="105"/>
      <c r="U49" s="104"/>
      <c r="V49" s="105"/>
      <c r="W49" s="105"/>
      <c r="X49" s="140"/>
      <c r="Y49" s="140"/>
      <c r="Z49" s="104"/>
      <c r="AA49" s="105"/>
      <c r="AB49" s="169"/>
    </row>
    <row r="50" ht="15.75" customHeight="1">
      <c r="A50" s="102" t="str">
        <f t="shared" si="1"/>
        <v/>
      </c>
      <c r="B50" s="104"/>
      <c r="C50" s="104"/>
      <c r="D50" s="104"/>
      <c r="E50" s="145"/>
      <c r="F50" s="104"/>
      <c r="G50" s="104"/>
      <c r="H50" s="105"/>
      <c r="I50" s="104"/>
      <c r="J50" s="105"/>
      <c r="K50" s="105"/>
      <c r="L50" s="105"/>
      <c r="M50" s="105"/>
      <c r="N50" s="105"/>
      <c r="O50" s="105"/>
      <c r="P50" s="105"/>
      <c r="Q50" s="104"/>
      <c r="R50" s="105"/>
      <c r="S50" s="105"/>
      <c r="T50" s="105"/>
      <c r="U50" s="104"/>
      <c r="V50" s="105"/>
      <c r="W50" s="105"/>
      <c r="X50" s="140"/>
      <c r="Y50" s="140"/>
      <c r="Z50" s="104"/>
      <c r="AA50" s="105"/>
      <c r="AB50" s="169"/>
    </row>
    <row r="51" ht="15.75" customHeight="1">
      <c r="A51" s="102" t="str">
        <f t="shared" si="1"/>
        <v/>
      </c>
      <c r="B51" s="104"/>
      <c r="C51" s="104"/>
      <c r="D51" s="104"/>
      <c r="E51" s="145"/>
      <c r="F51" s="104"/>
      <c r="G51" s="104"/>
      <c r="H51" s="105"/>
      <c r="I51" s="104"/>
      <c r="J51" s="105"/>
      <c r="K51" s="105"/>
      <c r="L51" s="105"/>
      <c r="M51" s="105"/>
      <c r="N51" s="105"/>
      <c r="O51" s="105"/>
      <c r="P51" s="105"/>
      <c r="Q51" s="104"/>
      <c r="R51" s="105"/>
      <c r="S51" s="105"/>
      <c r="T51" s="105"/>
      <c r="U51" s="104"/>
      <c r="V51" s="105"/>
      <c r="W51" s="105"/>
      <c r="X51" s="140"/>
      <c r="Y51" s="140"/>
      <c r="Z51" s="104"/>
      <c r="AA51" s="105"/>
      <c r="AB51" s="169"/>
    </row>
    <row r="52" ht="15.75" customHeight="1">
      <c r="A52" s="102" t="str">
        <f t="shared" si="1"/>
        <v/>
      </c>
      <c r="B52" s="104"/>
      <c r="C52" s="104"/>
      <c r="D52" s="104"/>
      <c r="E52" s="145"/>
      <c r="F52" s="104"/>
      <c r="G52" s="104"/>
      <c r="H52" s="105"/>
      <c r="I52" s="104"/>
      <c r="J52" s="105"/>
      <c r="K52" s="105"/>
      <c r="L52" s="105"/>
      <c r="M52" s="105"/>
      <c r="N52" s="105"/>
      <c r="O52" s="105"/>
      <c r="P52" s="105"/>
      <c r="Q52" s="104"/>
      <c r="R52" s="105"/>
      <c r="S52" s="105"/>
      <c r="T52" s="105"/>
      <c r="U52" s="104"/>
      <c r="V52" s="105"/>
      <c r="W52" s="105"/>
      <c r="X52" s="140"/>
      <c r="Y52" s="140"/>
      <c r="Z52" s="104"/>
      <c r="AA52" s="105"/>
      <c r="AB52" s="169"/>
    </row>
    <row r="53" ht="15.75" customHeight="1">
      <c r="A53" s="102" t="str">
        <f t="shared" si="1"/>
        <v/>
      </c>
      <c r="B53" s="104"/>
      <c r="C53" s="104"/>
      <c r="D53" s="104"/>
      <c r="E53" s="145"/>
      <c r="F53" s="104"/>
      <c r="G53" s="104"/>
      <c r="H53" s="105"/>
      <c r="I53" s="104"/>
      <c r="J53" s="105"/>
      <c r="K53" s="105"/>
      <c r="L53" s="105"/>
      <c r="M53" s="105"/>
      <c r="N53" s="105"/>
      <c r="O53" s="105"/>
      <c r="P53" s="105"/>
      <c r="Q53" s="104"/>
      <c r="R53" s="105"/>
      <c r="S53" s="105"/>
      <c r="T53" s="105"/>
      <c r="U53" s="104"/>
      <c r="V53" s="105"/>
      <c r="W53" s="105"/>
      <c r="X53" s="140"/>
      <c r="Y53" s="140"/>
      <c r="Z53" s="104"/>
      <c r="AA53" s="105"/>
      <c r="AB53" s="169"/>
    </row>
    <row r="54" ht="15.75" customHeight="1">
      <c r="A54" s="102" t="str">
        <f t="shared" si="1"/>
        <v/>
      </c>
      <c r="B54" s="104"/>
      <c r="C54" s="104"/>
      <c r="D54" s="104"/>
      <c r="E54" s="145"/>
      <c r="F54" s="104"/>
      <c r="G54" s="104"/>
      <c r="H54" s="105"/>
      <c r="I54" s="104"/>
      <c r="J54" s="105"/>
      <c r="K54" s="105"/>
      <c r="L54" s="105"/>
      <c r="M54" s="105"/>
      <c r="N54" s="105"/>
      <c r="O54" s="105"/>
      <c r="P54" s="105"/>
      <c r="Q54" s="104"/>
      <c r="R54" s="105"/>
      <c r="S54" s="105"/>
      <c r="T54" s="105"/>
      <c r="U54" s="104"/>
      <c r="V54" s="105"/>
      <c r="W54" s="105"/>
      <c r="X54" s="140"/>
      <c r="Y54" s="140"/>
      <c r="Z54" s="104"/>
      <c r="AA54" s="105"/>
      <c r="AB54" s="169"/>
    </row>
    <row r="55" ht="15.75" customHeight="1">
      <c r="A55" s="119" t="str">
        <f t="shared" si="1"/>
        <v/>
      </c>
      <c r="B55" s="120"/>
      <c r="C55" s="120"/>
      <c r="D55" s="120"/>
      <c r="E55" s="167"/>
      <c r="F55" s="120"/>
      <c r="G55" s="120"/>
      <c r="H55" s="121"/>
      <c r="I55" s="120"/>
      <c r="J55" s="121"/>
      <c r="K55" s="121"/>
      <c r="L55" s="121"/>
      <c r="M55" s="121"/>
      <c r="N55" s="121"/>
      <c r="O55" s="121"/>
      <c r="P55" s="121"/>
      <c r="Q55" s="120"/>
      <c r="R55" s="121"/>
      <c r="S55" s="121"/>
      <c r="T55" s="121"/>
      <c r="U55" s="120"/>
      <c r="V55" s="121"/>
      <c r="W55" s="121"/>
      <c r="X55" s="166"/>
      <c r="Y55" s="166"/>
      <c r="Z55" s="120"/>
      <c r="AA55" s="121"/>
      <c r="AB55" s="170"/>
    </row>
    <row r="56" ht="15.75" customHeight="1">
      <c r="A56" s="1"/>
      <c r="B56" s="1"/>
      <c r="C56" s="1"/>
      <c r="D56" s="1"/>
      <c r="G56" s="168"/>
      <c r="H56" s="1"/>
      <c r="I56" s="1"/>
      <c r="J56" s="171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168"/>
      <c r="H57" s="1"/>
      <c r="I57" s="1"/>
      <c r="J57" s="171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168"/>
      <c r="H58" s="1"/>
      <c r="I58" s="1"/>
      <c r="J58" s="171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168"/>
      <c r="H59" s="1"/>
      <c r="I59" s="1"/>
      <c r="J59" s="171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168"/>
      <c r="H60" s="1"/>
      <c r="I60" s="1"/>
      <c r="J60" s="171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168"/>
      <c r="H61" s="1"/>
      <c r="I61" s="1"/>
      <c r="J61" s="171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168"/>
      <c r="H62" s="1"/>
      <c r="I62" s="1"/>
      <c r="J62" s="171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168"/>
      <c r="H63" s="1"/>
      <c r="I63" s="1"/>
      <c r="J63" s="171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168"/>
      <c r="H64" s="1"/>
      <c r="I64" s="1"/>
      <c r="J64" s="171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168"/>
      <c r="H65" s="1"/>
      <c r="I65" s="1"/>
      <c r="J65" s="171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168"/>
      <c r="H66" s="1"/>
      <c r="I66" s="1"/>
      <c r="J66" s="171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168"/>
      <c r="H67" s="1"/>
      <c r="I67" s="1"/>
      <c r="J67" s="171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168"/>
      <c r="H68" s="1"/>
      <c r="I68" s="1"/>
      <c r="J68" s="171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168"/>
      <c r="H69" s="1"/>
      <c r="I69" s="1"/>
      <c r="J69" s="171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168"/>
      <c r="H70" s="1"/>
      <c r="I70" s="1"/>
      <c r="J70" s="171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168"/>
      <c r="H71" s="1"/>
      <c r="I71" s="1"/>
      <c r="J71" s="171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168"/>
      <c r="H72" s="1"/>
      <c r="I72" s="1"/>
      <c r="J72" s="171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168"/>
      <c r="H73" s="1"/>
      <c r="I73" s="1"/>
      <c r="J73" s="171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168"/>
      <c r="H74" s="1"/>
      <c r="I74" s="1"/>
      <c r="J74" s="171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168"/>
      <c r="H75" s="1"/>
      <c r="I75" s="1"/>
      <c r="J75" s="171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168"/>
      <c r="H76" s="1"/>
      <c r="I76" s="1"/>
      <c r="J76" s="171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168"/>
      <c r="H77" s="1"/>
      <c r="I77" s="1"/>
      <c r="J77" s="171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168"/>
      <c r="H78" s="1"/>
      <c r="I78" s="1"/>
      <c r="J78" s="171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168"/>
      <c r="H79" s="1"/>
      <c r="I79" s="1"/>
      <c r="J79" s="171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168"/>
      <c r="H80" s="1"/>
      <c r="I80" s="1"/>
      <c r="J80" s="171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168"/>
      <c r="H81" s="1"/>
      <c r="I81" s="1"/>
      <c r="J81" s="171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168"/>
      <c r="H82" s="1"/>
      <c r="I82" s="1"/>
      <c r="J82" s="171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168"/>
      <c r="H83" s="1"/>
      <c r="I83" s="1"/>
      <c r="J83" s="171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168"/>
      <c r="H84" s="1"/>
      <c r="I84" s="1"/>
      <c r="J84" s="171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168"/>
      <c r="H85" s="1"/>
      <c r="I85" s="1"/>
      <c r="J85" s="171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168"/>
      <c r="H86" s="1"/>
      <c r="I86" s="1"/>
      <c r="J86" s="171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168"/>
      <c r="H87" s="1"/>
      <c r="I87" s="1"/>
      <c r="J87" s="171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168"/>
      <c r="H88" s="1"/>
      <c r="I88" s="1"/>
      <c r="J88" s="171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168"/>
      <c r="H89" s="1"/>
      <c r="I89" s="1"/>
      <c r="J89" s="171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168"/>
      <c r="H90" s="1"/>
      <c r="I90" s="1"/>
      <c r="J90" s="171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168"/>
      <c r="H91" s="1"/>
      <c r="I91" s="1"/>
      <c r="J91" s="171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168"/>
      <c r="H92" s="1"/>
      <c r="I92" s="1"/>
      <c r="J92" s="171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168"/>
      <c r="H93" s="1"/>
      <c r="I93" s="1"/>
      <c r="J93" s="171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168"/>
      <c r="H94" s="1"/>
      <c r="I94" s="1"/>
      <c r="J94" s="171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168"/>
      <c r="H95" s="1"/>
      <c r="I95" s="1"/>
      <c r="J95" s="171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168"/>
      <c r="H96" s="1"/>
      <c r="I96" s="1"/>
      <c r="J96" s="171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168"/>
      <c r="H97" s="1"/>
      <c r="I97" s="1"/>
      <c r="J97" s="171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168"/>
      <c r="H98" s="1"/>
      <c r="I98" s="1"/>
      <c r="J98" s="171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168"/>
      <c r="H99" s="1"/>
      <c r="I99" s="1"/>
      <c r="J99" s="171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168"/>
      <c r="H100" s="1"/>
      <c r="I100" s="1"/>
      <c r="J100" s="171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168"/>
      <c r="H101" s="1"/>
      <c r="I101" s="1"/>
      <c r="J101" s="171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168"/>
      <c r="H102" s="1"/>
      <c r="I102" s="1"/>
      <c r="J102" s="171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168"/>
      <c r="H103" s="1"/>
      <c r="I103" s="1"/>
      <c r="J103" s="171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168"/>
      <c r="H104" s="1"/>
      <c r="I104" s="1"/>
      <c r="J104" s="171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168"/>
      <c r="H105" s="1"/>
      <c r="I105" s="1"/>
      <c r="J105" s="171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168"/>
      <c r="H106" s="1"/>
      <c r="I106" s="1"/>
      <c r="J106" s="171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168"/>
      <c r="H107" s="1"/>
      <c r="I107" s="1"/>
      <c r="J107" s="171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168"/>
      <c r="H108" s="1"/>
      <c r="I108" s="1"/>
      <c r="J108" s="171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168"/>
      <c r="H109" s="1"/>
      <c r="I109" s="1"/>
      <c r="J109" s="171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168"/>
      <c r="H110" s="1"/>
      <c r="I110" s="1"/>
      <c r="J110" s="171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168"/>
      <c r="H111" s="1"/>
      <c r="I111" s="1"/>
      <c r="J111" s="171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168"/>
      <c r="H112" s="1"/>
      <c r="I112" s="1"/>
      <c r="J112" s="171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168"/>
      <c r="H113" s="1"/>
      <c r="I113" s="1"/>
      <c r="J113" s="171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168"/>
      <c r="H114" s="1"/>
      <c r="I114" s="1"/>
      <c r="J114" s="171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168"/>
      <c r="H115" s="1"/>
      <c r="I115" s="1"/>
      <c r="J115" s="171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168"/>
      <c r="H116" s="1"/>
      <c r="I116" s="1"/>
      <c r="J116" s="171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168"/>
      <c r="H117" s="1"/>
      <c r="I117" s="1"/>
      <c r="J117" s="171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168"/>
      <c r="H118" s="1"/>
      <c r="I118" s="1"/>
      <c r="J118" s="171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168"/>
      <c r="H119" s="1"/>
      <c r="I119" s="1"/>
      <c r="J119" s="171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168"/>
      <c r="H120" s="1"/>
      <c r="I120" s="1"/>
      <c r="J120" s="171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168"/>
      <c r="H121" s="1"/>
      <c r="I121" s="1"/>
      <c r="J121" s="171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168"/>
      <c r="H122" s="1"/>
      <c r="I122" s="1"/>
      <c r="J122" s="171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168"/>
      <c r="H123" s="1"/>
      <c r="I123" s="1"/>
      <c r="J123" s="171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168"/>
      <c r="H124" s="1"/>
      <c r="I124" s="1"/>
      <c r="J124" s="171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168"/>
      <c r="H125" s="1"/>
      <c r="I125" s="1"/>
      <c r="J125" s="171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168"/>
      <c r="H126" s="1"/>
      <c r="I126" s="1"/>
      <c r="J126" s="171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168"/>
      <c r="H127" s="1"/>
      <c r="I127" s="1"/>
      <c r="J127" s="171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168"/>
      <c r="H128" s="1"/>
      <c r="I128" s="1"/>
      <c r="J128" s="171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168"/>
      <c r="H129" s="1"/>
      <c r="I129" s="1"/>
      <c r="J129" s="171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168"/>
      <c r="H130" s="1"/>
      <c r="I130" s="1"/>
      <c r="J130" s="171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168"/>
      <c r="H131" s="1"/>
      <c r="I131" s="1"/>
      <c r="J131" s="171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168"/>
      <c r="H132" s="1"/>
      <c r="I132" s="1"/>
      <c r="J132" s="171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168"/>
      <c r="H133" s="1"/>
      <c r="I133" s="1"/>
      <c r="J133" s="171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168"/>
      <c r="H134" s="1"/>
      <c r="I134" s="1"/>
      <c r="J134" s="171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168"/>
      <c r="H135" s="1"/>
      <c r="I135" s="1"/>
      <c r="J135" s="171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168"/>
      <c r="H136" s="1"/>
      <c r="I136" s="1"/>
      <c r="J136" s="171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168"/>
      <c r="H137" s="1"/>
      <c r="I137" s="1"/>
      <c r="J137" s="171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168"/>
      <c r="H138" s="1"/>
      <c r="I138" s="1"/>
      <c r="J138" s="171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168"/>
      <c r="H139" s="1"/>
      <c r="I139" s="1"/>
      <c r="J139" s="171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168"/>
      <c r="H140" s="1"/>
      <c r="I140" s="1"/>
      <c r="J140" s="171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168"/>
      <c r="H141" s="1"/>
      <c r="I141" s="1"/>
      <c r="J141" s="171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168"/>
      <c r="H142" s="1"/>
      <c r="I142" s="1"/>
      <c r="J142" s="171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168"/>
      <c r="H143" s="1"/>
      <c r="I143" s="1"/>
      <c r="J143" s="171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168"/>
      <c r="H144" s="1"/>
      <c r="I144" s="1"/>
      <c r="J144" s="171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168"/>
      <c r="H145" s="1"/>
      <c r="I145" s="1"/>
      <c r="J145" s="171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168"/>
      <c r="H146" s="1"/>
      <c r="I146" s="1"/>
      <c r="J146" s="171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168"/>
      <c r="H147" s="1"/>
      <c r="I147" s="1"/>
      <c r="J147" s="171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168"/>
      <c r="H148" s="1"/>
      <c r="I148" s="1"/>
      <c r="J148" s="171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168"/>
      <c r="H149" s="1"/>
      <c r="I149" s="1"/>
      <c r="J149" s="171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168"/>
      <c r="H150" s="1"/>
      <c r="I150" s="1"/>
      <c r="J150" s="171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168"/>
      <c r="H151" s="1"/>
      <c r="I151" s="1"/>
      <c r="J151" s="171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168"/>
      <c r="H152" s="1"/>
      <c r="I152" s="1"/>
      <c r="J152" s="171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168"/>
      <c r="H153" s="1"/>
      <c r="I153" s="1"/>
      <c r="J153" s="171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168"/>
      <c r="H154" s="1"/>
      <c r="I154" s="1"/>
      <c r="J154" s="171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168"/>
      <c r="H155" s="1"/>
      <c r="I155" s="1"/>
      <c r="J155" s="171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168"/>
      <c r="H156" s="1"/>
      <c r="I156" s="1"/>
      <c r="J156" s="171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168"/>
      <c r="H157" s="1"/>
      <c r="I157" s="1"/>
      <c r="J157" s="171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168"/>
      <c r="H158" s="1"/>
      <c r="I158" s="1"/>
      <c r="J158" s="171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168"/>
      <c r="H159" s="1"/>
      <c r="I159" s="1"/>
      <c r="J159" s="171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168"/>
      <c r="H160" s="1"/>
      <c r="I160" s="1"/>
      <c r="J160" s="171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168"/>
      <c r="H161" s="1"/>
      <c r="I161" s="1"/>
      <c r="J161" s="171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168"/>
      <c r="H162" s="1"/>
      <c r="I162" s="1"/>
      <c r="J162" s="171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168"/>
      <c r="H163" s="1"/>
      <c r="I163" s="1"/>
      <c r="J163" s="171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168"/>
      <c r="H164" s="1"/>
      <c r="I164" s="1"/>
      <c r="J164" s="171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168"/>
      <c r="H165" s="1"/>
      <c r="I165" s="1"/>
      <c r="J165" s="171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168"/>
      <c r="H166" s="1"/>
      <c r="I166" s="1"/>
      <c r="J166" s="171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168"/>
      <c r="H167" s="1"/>
      <c r="I167" s="1"/>
      <c r="J167" s="171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168"/>
      <c r="H168" s="1"/>
      <c r="I168" s="1"/>
      <c r="J168" s="171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168"/>
      <c r="H169" s="1"/>
      <c r="I169" s="1"/>
      <c r="J169" s="171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168"/>
      <c r="H170" s="1"/>
      <c r="I170" s="1"/>
      <c r="J170" s="171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168"/>
      <c r="H171" s="1"/>
      <c r="I171" s="1"/>
      <c r="J171" s="171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168"/>
      <c r="H172" s="1"/>
      <c r="I172" s="1"/>
      <c r="J172" s="171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168"/>
      <c r="H173" s="1"/>
      <c r="I173" s="1"/>
      <c r="J173" s="171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168"/>
      <c r="H174" s="1"/>
      <c r="I174" s="1"/>
      <c r="J174" s="171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168"/>
      <c r="H175" s="1"/>
      <c r="I175" s="1"/>
      <c r="J175" s="171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168"/>
      <c r="H176" s="1"/>
      <c r="I176" s="1"/>
      <c r="J176" s="171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168"/>
      <c r="H177" s="1"/>
      <c r="I177" s="1"/>
      <c r="J177" s="171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168"/>
      <c r="H178" s="1"/>
      <c r="I178" s="1"/>
      <c r="J178" s="171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168"/>
      <c r="H179" s="1"/>
      <c r="I179" s="1"/>
      <c r="J179" s="171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168"/>
      <c r="H180" s="1"/>
      <c r="I180" s="1"/>
      <c r="J180" s="171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168"/>
      <c r="H181" s="1"/>
      <c r="I181" s="1"/>
      <c r="J181" s="171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168"/>
      <c r="H182" s="1"/>
      <c r="I182" s="1"/>
      <c r="J182" s="171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168"/>
      <c r="H183" s="1"/>
      <c r="I183" s="1"/>
      <c r="J183" s="171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168"/>
      <c r="H184" s="1"/>
      <c r="I184" s="1"/>
      <c r="J184" s="171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168"/>
      <c r="H185" s="1"/>
      <c r="I185" s="1"/>
      <c r="J185" s="171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168"/>
      <c r="H186" s="1"/>
      <c r="I186" s="1"/>
      <c r="J186" s="171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168"/>
      <c r="H187" s="1"/>
      <c r="I187" s="1"/>
      <c r="J187" s="171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168"/>
      <c r="H188" s="1"/>
      <c r="I188" s="1"/>
      <c r="J188" s="171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168"/>
      <c r="H189" s="1"/>
      <c r="I189" s="1"/>
      <c r="J189" s="171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168"/>
      <c r="H190" s="1"/>
      <c r="I190" s="1"/>
      <c r="J190" s="171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168"/>
      <c r="H191" s="1"/>
      <c r="I191" s="1"/>
      <c r="J191" s="171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168"/>
      <c r="H192" s="1"/>
      <c r="I192" s="1"/>
      <c r="J192" s="171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168"/>
      <c r="H193" s="1"/>
      <c r="I193" s="1"/>
      <c r="J193" s="171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168"/>
      <c r="H194" s="1"/>
      <c r="I194" s="1"/>
      <c r="J194" s="171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168"/>
      <c r="H195" s="1"/>
      <c r="I195" s="1"/>
      <c r="J195" s="171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168"/>
      <c r="H196" s="1"/>
      <c r="I196" s="1"/>
      <c r="J196" s="171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168"/>
      <c r="H197" s="1"/>
      <c r="I197" s="1"/>
      <c r="J197" s="171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168"/>
      <c r="H198" s="1"/>
      <c r="I198" s="1"/>
      <c r="J198" s="171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168"/>
      <c r="H199" s="1"/>
      <c r="I199" s="1"/>
      <c r="J199" s="171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168"/>
      <c r="H200" s="1"/>
      <c r="I200" s="1"/>
      <c r="J200" s="171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168"/>
      <c r="H201" s="1"/>
      <c r="I201" s="1"/>
      <c r="J201" s="171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168"/>
      <c r="H202" s="1"/>
      <c r="I202" s="1"/>
      <c r="J202" s="171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168"/>
      <c r="H203" s="1"/>
      <c r="I203" s="1"/>
      <c r="J203" s="171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168"/>
      <c r="H204" s="1"/>
      <c r="I204" s="1"/>
      <c r="J204" s="171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168"/>
      <c r="H205" s="1"/>
      <c r="I205" s="1"/>
      <c r="J205" s="171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168"/>
      <c r="H206" s="1"/>
      <c r="I206" s="1"/>
      <c r="J206" s="171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168"/>
      <c r="H207" s="1"/>
      <c r="I207" s="1"/>
      <c r="J207" s="171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168"/>
      <c r="H208" s="1"/>
      <c r="I208" s="1"/>
      <c r="J208" s="171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168"/>
      <c r="H209" s="1"/>
      <c r="I209" s="1"/>
      <c r="J209" s="171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168"/>
      <c r="H210" s="1"/>
      <c r="I210" s="1"/>
      <c r="J210" s="171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168"/>
      <c r="H211" s="1"/>
      <c r="I211" s="1"/>
      <c r="J211" s="171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168"/>
      <c r="H212" s="1"/>
      <c r="I212" s="1"/>
      <c r="J212" s="171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168"/>
      <c r="H213" s="1"/>
      <c r="I213" s="1"/>
      <c r="J213" s="171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168"/>
      <c r="H214" s="1"/>
      <c r="I214" s="1"/>
      <c r="J214" s="171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168"/>
      <c r="H215" s="1"/>
      <c r="I215" s="1"/>
      <c r="J215" s="171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168"/>
      <c r="H216" s="1"/>
      <c r="I216" s="1"/>
      <c r="J216" s="171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168"/>
      <c r="H217" s="1"/>
      <c r="I217" s="1"/>
      <c r="J217" s="171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168"/>
      <c r="H218" s="1"/>
      <c r="I218" s="1"/>
      <c r="J218" s="171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168"/>
      <c r="H219" s="1"/>
      <c r="I219" s="1"/>
      <c r="J219" s="171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168"/>
      <c r="H220" s="1"/>
      <c r="I220" s="1"/>
      <c r="J220" s="171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168"/>
      <c r="H221" s="1"/>
      <c r="I221" s="1"/>
      <c r="J221" s="171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168"/>
      <c r="H222" s="1"/>
      <c r="I222" s="1"/>
      <c r="J222" s="171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168"/>
      <c r="H223" s="1"/>
      <c r="I223" s="1"/>
      <c r="J223" s="171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168"/>
      <c r="H224" s="1"/>
      <c r="I224" s="1"/>
      <c r="J224" s="171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168"/>
      <c r="H225" s="1"/>
      <c r="I225" s="1"/>
      <c r="J225" s="171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168"/>
      <c r="H226" s="1"/>
      <c r="I226" s="1"/>
      <c r="J226" s="171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168"/>
      <c r="H227" s="1"/>
      <c r="I227" s="1"/>
      <c r="J227" s="171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168"/>
      <c r="H228" s="1"/>
      <c r="I228" s="1"/>
      <c r="J228" s="171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168"/>
      <c r="H229" s="1"/>
      <c r="I229" s="1"/>
      <c r="J229" s="171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168"/>
      <c r="H230" s="1"/>
      <c r="I230" s="1"/>
      <c r="J230" s="171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168"/>
      <c r="H231" s="1"/>
      <c r="I231" s="1"/>
      <c r="J231" s="171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168"/>
      <c r="H232" s="1"/>
      <c r="I232" s="1"/>
      <c r="J232" s="171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168"/>
      <c r="H233" s="1"/>
      <c r="I233" s="1"/>
      <c r="J233" s="171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168"/>
      <c r="H234" s="1"/>
      <c r="I234" s="1"/>
      <c r="J234" s="171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168"/>
      <c r="H235" s="1"/>
      <c r="I235" s="1"/>
      <c r="J235" s="171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168"/>
      <c r="H236" s="1"/>
      <c r="I236" s="1"/>
      <c r="J236" s="171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168"/>
      <c r="H237" s="1"/>
      <c r="I237" s="1"/>
      <c r="J237" s="171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168"/>
      <c r="H238" s="1"/>
      <c r="I238" s="1"/>
      <c r="J238" s="171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168"/>
      <c r="H239" s="1"/>
      <c r="I239" s="1"/>
      <c r="J239" s="171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168"/>
      <c r="H240" s="1"/>
      <c r="I240" s="1"/>
      <c r="J240" s="171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168"/>
      <c r="H241" s="1"/>
      <c r="I241" s="1"/>
      <c r="J241" s="171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168"/>
      <c r="H242" s="1"/>
      <c r="I242" s="1"/>
      <c r="J242" s="171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168"/>
      <c r="H243" s="1"/>
      <c r="I243" s="1"/>
      <c r="J243" s="171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168"/>
      <c r="H244" s="1"/>
      <c r="I244" s="1"/>
      <c r="J244" s="171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168"/>
      <c r="H245" s="1"/>
      <c r="I245" s="1"/>
      <c r="J245" s="171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168"/>
      <c r="H246" s="1"/>
      <c r="I246" s="1"/>
      <c r="J246" s="171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168"/>
      <c r="H247" s="1"/>
      <c r="I247" s="1"/>
      <c r="J247" s="171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168"/>
      <c r="H248" s="1"/>
      <c r="I248" s="1"/>
      <c r="J248" s="171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168"/>
      <c r="H249" s="1"/>
      <c r="I249" s="1"/>
      <c r="J249" s="171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168"/>
      <c r="H250" s="1"/>
      <c r="I250" s="1"/>
      <c r="J250" s="171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168"/>
      <c r="H251" s="1"/>
      <c r="I251" s="1"/>
      <c r="J251" s="171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168"/>
      <c r="H252" s="1"/>
      <c r="I252" s="1"/>
      <c r="J252" s="171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168"/>
      <c r="H253" s="1"/>
      <c r="I253" s="1"/>
      <c r="J253" s="171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168"/>
      <c r="H254" s="1"/>
      <c r="I254" s="1"/>
      <c r="J254" s="171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168"/>
      <c r="H255" s="1"/>
      <c r="I255" s="1"/>
      <c r="J255" s="171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168"/>
      <c r="H256" s="1"/>
      <c r="I256" s="1"/>
      <c r="J256" s="171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168"/>
      <c r="H257" s="1"/>
      <c r="I257" s="1"/>
      <c r="J257" s="171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168"/>
      <c r="H258" s="1"/>
      <c r="I258" s="1"/>
      <c r="J258" s="171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168"/>
      <c r="H259" s="1"/>
      <c r="I259" s="1"/>
      <c r="J259" s="171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168"/>
      <c r="H260" s="1"/>
      <c r="I260" s="1"/>
      <c r="J260" s="171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168"/>
      <c r="H261" s="1"/>
      <c r="I261" s="1"/>
      <c r="J261" s="171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168"/>
      <c r="H262" s="1"/>
      <c r="I262" s="1"/>
      <c r="J262" s="171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168"/>
      <c r="H263" s="1"/>
      <c r="I263" s="1"/>
      <c r="J263" s="171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168"/>
      <c r="H264" s="1"/>
      <c r="I264" s="1"/>
      <c r="J264" s="171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168"/>
      <c r="H265" s="1"/>
      <c r="I265" s="1"/>
      <c r="J265" s="171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168"/>
      <c r="H266" s="1"/>
      <c r="I266" s="1"/>
      <c r="J266" s="171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168"/>
      <c r="H267" s="1"/>
      <c r="I267" s="1"/>
      <c r="J267" s="171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168"/>
      <c r="H268" s="1"/>
      <c r="I268" s="1"/>
      <c r="J268" s="171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168"/>
      <c r="H269" s="1"/>
      <c r="I269" s="1"/>
      <c r="J269" s="171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168"/>
      <c r="H270" s="1"/>
      <c r="I270" s="1"/>
      <c r="J270" s="171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168"/>
      <c r="H271" s="1"/>
      <c r="I271" s="1"/>
      <c r="J271" s="171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168"/>
      <c r="H272" s="1"/>
      <c r="I272" s="1"/>
      <c r="J272" s="171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168"/>
      <c r="H273" s="1"/>
      <c r="I273" s="1"/>
      <c r="J273" s="171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168"/>
      <c r="H274" s="1"/>
      <c r="I274" s="1"/>
      <c r="J274" s="171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168"/>
      <c r="H275" s="1"/>
      <c r="I275" s="1"/>
      <c r="J275" s="171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168"/>
      <c r="H276" s="1"/>
      <c r="I276" s="1"/>
      <c r="J276" s="171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168"/>
      <c r="H277" s="1"/>
      <c r="I277" s="1"/>
      <c r="J277" s="171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168"/>
      <c r="H278" s="1"/>
      <c r="I278" s="1"/>
      <c r="J278" s="171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168"/>
      <c r="H279" s="1"/>
      <c r="I279" s="1"/>
      <c r="J279" s="171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168"/>
      <c r="H280" s="1"/>
      <c r="I280" s="1"/>
      <c r="J280" s="171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168"/>
      <c r="H281" s="1"/>
      <c r="I281" s="1"/>
      <c r="J281" s="171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168"/>
      <c r="H282" s="1"/>
      <c r="I282" s="1"/>
      <c r="J282" s="171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168"/>
      <c r="H283" s="1"/>
      <c r="I283" s="1"/>
      <c r="J283" s="171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168"/>
      <c r="H284" s="1"/>
      <c r="I284" s="1"/>
      <c r="J284" s="171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168"/>
      <c r="H285" s="1"/>
      <c r="I285" s="1"/>
      <c r="J285" s="171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168"/>
      <c r="H286" s="1"/>
      <c r="I286" s="1"/>
      <c r="J286" s="171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168"/>
      <c r="H287" s="1"/>
      <c r="I287" s="1"/>
      <c r="J287" s="171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168"/>
      <c r="H288" s="1"/>
      <c r="I288" s="1"/>
      <c r="J288" s="171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168"/>
      <c r="H289" s="1"/>
      <c r="I289" s="1"/>
      <c r="J289" s="171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168"/>
      <c r="H290" s="1"/>
      <c r="I290" s="1"/>
      <c r="J290" s="171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168"/>
      <c r="H291" s="1"/>
      <c r="I291" s="1"/>
      <c r="J291" s="171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168"/>
      <c r="H292" s="1"/>
      <c r="I292" s="1"/>
      <c r="J292" s="171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168"/>
      <c r="H293" s="1"/>
      <c r="I293" s="1"/>
      <c r="J293" s="171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168"/>
      <c r="H294" s="1"/>
      <c r="I294" s="1"/>
      <c r="J294" s="171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168"/>
      <c r="H295" s="1"/>
      <c r="I295" s="1"/>
      <c r="J295" s="171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168"/>
      <c r="H296" s="1"/>
      <c r="I296" s="1"/>
      <c r="J296" s="171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168"/>
      <c r="H297" s="1"/>
      <c r="I297" s="1"/>
      <c r="J297" s="171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168"/>
      <c r="H298" s="1"/>
      <c r="I298" s="1"/>
      <c r="J298" s="171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168"/>
      <c r="H299" s="1"/>
      <c r="I299" s="1"/>
      <c r="J299" s="171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168"/>
      <c r="H300" s="1"/>
      <c r="I300" s="1"/>
      <c r="J300" s="171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168"/>
      <c r="H301" s="1"/>
      <c r="I301" s="1"/>
      <c r="J301" s="171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168"/>
      <c r="H302" s="1"/>
      <c r="I302" s="1"/>
      <c r="J302" s="171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168"/>
      <c r="H303" s="1"/>
      <c r="I303" s="1"/>
      <c r="J303" s="171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168"/>
      <c r="H304" s="1"/>
      <c r="I304" s="1"/>
      <c r="J304" s="171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168"/>
      <c r="H305" s="1"/>
      <c r="I305" s="1"/>
      <c r="J305" s="171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168"/>
      <c r="H306" s="1"/>
      <c r="I306" s="1"/>
      <c r="J306" s="171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168"/>
      <c r="H307" s="1"/>
      <c r="I307" s="1"/>
      <c r="J307" s="171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168"/>
      <c r="H308" s="1"/>
      <c r="I308" s="1"/>
      <c r="J308" s="171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168"/>
      <c r="H309" s="1"/>
      <c r="I309" s="1"/>
      <c r="J309" s="171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168"/>
      <c r="H310" s="1"/>
      <c r="I310" s="1"/>
      <c r="J310" s="171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168"/>
      <c r="H311" s="1"/>
      <c r="I311" s="1"/>
      <c r="J311" s="171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168"/>
      <c r="H312" s="1"/>
      <c r="I312" s="1"/>
      <c r="J312" s="171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168"/>
      <c r="H313" s="1"/>
      <c r="I313" s="1"/>
      <c r="J313" s="171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168"/>
      <c r="H314" s="1"/>
      <c r="I314" s="1"/>
      <c r="J314" s="171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168"/>
      <c r="H315" s="1"/>
      <c r="I315" s="1"/>
      <c r="J315" s="171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168"/>
      <c r="H316" s="1"/>
      <c r="I316" s="1"/>
      <c r="J316" s="171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168"/>
      <c r="H317" s="1"/>
      <c r="I317" s="1"/>
      <c r="J317" s="171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168"/>
      <c r="H318" s="1"/>
      <c r="I318" s="1"/>
      <c r="J318" s="171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168"/>
      <c r="H319" s="1"/>
      <c r="I319" s="1"/>
      <c r="J319" s="171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168"/>
      <c r="H320" s="1"/>
      <c r="I320" s="1"/>
      <c r="J320" s="171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168"/>
      <c r="H321" s="1"/>
      <c r="I321" s="1"/>
      <c r="J321" s="171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168"/>
      <c r="H322" s="1"/>
      <c r="I322" s="1"/>
      <c r="J322" s="171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168"/>
      <c r="H323" s="1"/>
      <c r="I323" s="1"/>
      <c r="J323" s="171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168"/>
      <c r="H324" s="1"/>
      <c r="I324" s="1"/>
      <c r="J324" s="171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168"/>
      <c r="H325" s="1"/>
      <c r="I325" s="1"/>
      <c r="J325" s="171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168"/>
      <c r="H326" s="1"/>
      <c r="I326" s="1"/>
      <c r="J326" s="171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168"/>
      <c r="H327" s="1"/>
      <c r="I327" s="1"/>
      <c r="J327" s="171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168"/>
      <c r="H328" s="1"/>
      <c r="I328" s="1"/>
      <c r="J328" s="171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168"/>
      <c r="H329" s="1"/>
      <c r="I329" s="1"/>
      <c r="J329" s="171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168"/>
      <c r="H330" s="1"/>
      <c r="I330" s="1"/>
      <c r="J330" s="171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168"/>
      <c r="H331" s="1"/>
      <c r="I331" s="1"/>
      <c r="J331" s="171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168"/>
      <c r="H332" s="1"/>
      <c r="I332" s="1"/>
      <c r="J332" s="171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168"/>
      <c r="H333" s="1"/>
      <c r="I333" s="1"/>
      <c r="J333" s="171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168"/>
      <c r="H334" s="1"/>
      <c r="I334" s="1"/>
      <c r="J334" s="171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168"/>
      <c r="H335" s="1"/>
      <c r="I335" s="1"/>
      <c r="J335" s="171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168"/>
      <c r="H336" s="1"/>
      <c r="I336" s="1"/>
      <c r="J336" s="171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168"/>
      <c r="H337" s="1"/>
      <c r="I337" s="1"/>
      <c r="J337" s="171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168"/>
      <c r="H338" s="1"/>
      <c r="I338" s="1"/>
      <c r="J338" s="171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168"/>
      <c r="H339" s="1"/>
      <c r="I339" s="1"/>
      <c r="J339" s="171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168"/>
      <c r="H340" s="1"/>
      <c r="I340" s="1"/>
      <c r="J340" s="171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168"/>
      <c r="H341" s="1"/>
      <c r="I341" s="1"/>
      <c r="J341" s="171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168"/>
      <c r="H342" s="1"/>
      <c r="I342" s="1"/>
      <c r="J342" s="171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168"/>
      <c r="H343" s="1"/>
      <c r="I343" s="1"/>
      <c r="J343" s="171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168"/>
      <c r="H344" s="1"/>
      <c r="I344" s="1"/>
      <c r="J344" s="171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168"/>
      <c r="H345" s="1"/>
      <c r="I345" s="1"/>
      <c r="J345" s="171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168"/>
      <c r="H346" s="1"/>
      <c r="I346" s="1"/>
      <c r="J346" s="171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168"/>
      <c r="H347" s="1"/>
      <c r="I347" s="1"/>
      <c r="J347" s="171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168"/>
      <c r="H348" s="1"/>
      <c r="I348" s="1"/>
      <c r="J348" s="171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168"/>
      <c r="H349" s="1"/>
      <c r="I349" s="1"/>
      <c r="J349" s="171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168"/>
      <c r="H350" s="1"/>
      <c r="I350" s="1"/>
      <c r="J350" s="171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168"/>
      <c r="H351" s="1"/>
      <c r="I351" s="1"/>
      <c r="J351" s="171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168"/>
      <c r="H352" s="1"/>
      <c r="I352" s="1"/>
      <c r="J352" s="171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168"/>
      <c r="H353" s="1"/>
      <c r="I353" s="1"/>
      <c r="J353" s="171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168"/>
      <c r="H354" s="1"/>
      <c r="I354" s="1"/>
      <c r="J354" s="171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168"/>
      <c r="H355" s="1"/>
      <c r="I355" s="1"/>
      <c r="J355" s="171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168"/>
      <c r="H356" s="1"/>
      <c r="I356" s="1"/>
      <c r="J356" s="171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168"/>
      <c r="H357" s="1"/>
      <c r="I357" s="1"/>
      <c r="J357" s="171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168"/>
      <c r="H358" s="1"/>
      <c r="I358" s="1"/>
      <c r="J358" s="171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168"/>
      <c r="H359" s="1"/>
      <c r="I359" s="1"/>
      <c r="J359" s="171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168"/>
      <c r="H360" s="1"/>
      <c r="I360" s="1"/>
      <c r="J360" s="171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168"/>
      <c r="H361" s="1"/>
      <c r="I361" s="1"/>
      <c r="J361" s="171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168"/>
      <c r="H362" s="1"/>
      <c r="I362" s="1"/>
      <c r="J362" s="171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168"/>
      <c r="H363" s="1"/>
      <c r="I363" s="1"/>
      <c r="J363" s="171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168"/>
      <c r="H364" s="1"/>
      <c r="I364" s="1"/>
      <c r="J364" s="171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168"/>
      <c r="H365" s="1"/>
      <c r="I365" s="1"/>
      <c r="J365" s="171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168"/>
      <c r="H366" s="1"/>
      <c r="I366" s="1"/>
      <c r="J366" s="171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168"/>
      <c r="H367" s="1"/>
      <c r="I367" s="1"/>
      <c r="J367" s="171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168"/>
      <c r="H368" s="1"/>
      <c r="I368" s="1"/>
      <c r="J368" s="171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168"/>
      <c r="H369" s="1"/>
      <c r="I369" s="1"/>
      <c r="J369" s="171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168"/>
      <c r="H370" s="1"/>
      <c r="I370" s="1"/>
      <c r="J370" s="171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168"/>
      <c r="H371" s="1"/>
      <c r="I371" s="1"/>
      <c r="J371" s="171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168"/>
      <c r="H372" s="1"/>
      <c r="I372" s="1"/>
      <c r="J372" s="171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168"/>
      <c r="H373" s="1"/>
      <c r="I373" s="1"/>
      <c r="J373" s="171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168"/>
      <c r="H374" s="1"/>
      <c r="I374" s="1"/>
      <c r="J374" s="171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168"/>
      <c r="H375" s="1"/>
      <c r="I375" s="1"/>
      <c r="J375" s="171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168"/>
      <c r="H376" s="1"/>
      <c r="I376" s="1"/>
      <c r="J376" s="171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168"/>
      <c r="H377" s="1"/>
      <c r="I377" s="1"/>
      <c r="J377" s="171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168"/>
      <c r="H378" s="1"/>
      <c r="I378" s="1"/>
      <c r="J378" s="171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168"/>
      <c r="H379" s="1"/>
      <c r="I379" s="1"/>
      <c r="J379" s="171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168"/>
      <c r="H380" s="1"/>
      <c r="I380" s="1"/>
      <c r="J380" s="171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168"/>
      <c r="H381" s="1"/>
      <c r="I381" s="1"/>
      <c r="J381" s="171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168"/>
      <c r="H382" s="1"/>
      <c r="I382" s="1"/>
      <c r="J382" s="171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168"/>
      <c r="H383" s="1"/>
      <c r="I383" s="1"/>
      <c r="J383" s="171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168"/>
      <c r="H384" s="1"/>
      <c r="I384" s="1"/>
      <c r="J384" s="171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168"/>
      <c r="H385" s="1"/>
      <c r="I385" s="1"/>
      <c r="J385" s="171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168"/>
      <c r="H386" s="1"/>
      <c r="I386" s="1"/>
      <c r="J386" s="171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168"/>
      <c r="H387" s="1"/>
      <c r="I387" s="1"/>
      <c r="J387" s="171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168"/>
      <c r="H388" s="1"/>
      <c r="I388" s="1"/>
      <c r="J388" s="171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168"/>
      <c r="H389" s="1"/>
      <c r="I389" s="1"/>
      <c r="J389" s="171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168"/>
      <c r="H390" s="1"/>
      <c r="I390" s="1"/>
      <c r="J390" s="171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168"/>
      <c r="H391" s="1"/>
      <c r="I391" s="1"/>
      <c r="J391" s="171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168"/>
      <c r="H392" s="1"/>
      <c r="I392" s="1"/>
      <c r="J392" s="171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168"/>
      <c r="H393" s="1"/>
      <c r="I393" s="1"/>
      <c r="J393" s="171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168"/>
      <c r="H394" s="1"/>
      <c r="I394" s="1"/>
      <c r="J394" s="171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168"/>
      <c r="H395" s="1"/>
      <c r="I395" s="1"/>
      <c r="J395" s="171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168"/>
      <c r="H396" s="1"/>
      <c r="I396" s="1"/>
      <c r="J396" s="171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168"/>
      <c r="H397" s="1"/>
      <c r="I397" s="1"/>
      <c r="J397" s="171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168"/>
      <c r="H398" s="1"/>
      <c r="I398" s="1"/>
      <c r="J398" s="171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168"/>
      <c r="H399" s="1"/>
      <c r="I399" s="1"/>
      <c r="J399" s="171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168"/>
      <c r="H400" s="1"/>
      <c r="I400" s="1"/>
      <c r="J400" s="171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168"/>
      <c r="H401" s="1"/>
      <c r="I401" s="1"/>
      <c r="J401" s="171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168"/>
      <c r="H402" s="1"/>
      <c r="I402" s="1"/>
      <c r="J402" s="171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168"/>
      <c r="H403" s="1"/>
      <c r="I403" s="1"/>
      <c r="J403" s="171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168"/>
      <c r="H404" s="1"/>
      <c r="I404" s="1"/>
      <c r="J404" s="171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168"/>
      <c r="H405" s="1"/>
      <c r="I405" s="1"/>
      <c r="J405" s="171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168"/>
      <c r="H406" s="1"/>
      <c r="I406" s="1"/>
      <c r="J406" s="171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168"/>
      <c r="H407" s="1"/>
      <c r="I407" s="1"/>
      <c r="J407" s="171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168"/>
      <c r="H408" s="1"/>
      <c r="I408" s="1"/>
      <c r="J408" s="171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168"/>
      <c r="H409" s="1"/>
      <c r="I409" s="1"/>
      <c r="J409" s="171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168"/>
      <c r="H410" s="1"/>
      <c r="I410" s="1"/>
      <c r="J410" s="171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168"/>
      <c r="H411" s="1"/>
      <c r="I411" s="1"/>
      <c r="J411" s="171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168"/>
      <c r="H412" s="1"/>
      <c r="I412" s="1"/>
      <c r="J412" s="171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168"/>
      <c r="H413" s="1"/>
      <c r="I413" s="1"/>
      <c r="J413" s="171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168"/>
      <c r="H414" s="1"/>
      <c r="I414" s="1"/>
      <c r="J414" s="171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168"/>
      <c r="H415" s="1"/>
      <c r="I415" s="1"/>
      <c r="J415" s="171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168"/>
      <c r="H416" s="1"/>
      <c r="I416" s="1"/>
      <c r="J416" s="171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168"/>
      <c r="H417" s="1"/>
      <c r="I417" s="1"/>
      <c r="J417" s="171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168"/>
      <c r="H418" s="1"/>
      <c r="I418" s="1"/>
      <c r="J418" s="171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168"/>
      <c r="H419" s="1"/>
      <c r="I419" s="1"/>
      <c r="J419" s="171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168"/>
      <c r="H420" s="1"/>
      <c r="I420" s="1"/>
      <c r="J420" s="171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168"/>
      <c r="H421" s="1"/>
      <c r="I421" s="1"/>
      <c r="J421" s="171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168"/>
      <c r="H422" s="1"/>
      <c r="I422" s="1"/>
      <c r="J422" s="171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168"/>
      <c r="H423" s="1"/>
      <c r="I423" s="1"/>
      <c r="J423" s="171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168"/>
      <c r="H424" s="1"/>
      <c r="I424" s="1"/>
      <c r="J424" s="171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168"/>
      <c r="H425" s="1"/>
      <c r="I425" s="1"/>
      <c r="J425" s="171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168"/>
      <c r="H426" s="1"/>
      <c r="I426" s="1"/>
      <c r="J426" s="171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168"/>
      <c r="H427" s="1"/>
      <c r="I427" s="1"/>
      <c r="J427" s="171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168"/>
      <c r="H428" s="1"/>
      <c r="I428" s="1"/>
      <c r="J428" s="171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168"/>
      <c r="H429" s="1"/>
      <c r="I429" s="1"/>
      <c r="J429" s="171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168"/>
      <c r="H430" s="1"/>
      <c r="I430" s="1"/>
      <c r="J430" s="171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168"/>
      <c r="H431" s="1"/>
      <c r="I431" s="1"/>
      <c r="J431" s="171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168"/>
      <c r="H432" s="1"/>
      <c r="I432" s="1"/>
      <c r="J432" s="171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168"/>
      <c r="H433" s="1"/>
      <c r="I433" s="1"/>
      <c r="J433" s="171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168"/>
      <c r="H434" s="1"/>
      <c r="I434" s="1"/>
      <c r="J434" s="171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168"/>
      <c r="H435" s="1"/>
      <c r="I435" s="1"/>
      <c r="J435" s="171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168"/>
      <c r="H436" s="1"/>
      <c r="I436" s="1"/>
      <c r="J436" s="171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168"/>
      <c r="H437" s="1"/>
      <c r="I437" s="1"/>
      <c r="J437" s="171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168"/>
      <c r="H438" s="1"/>
      <c r="I438" s="1"/>
      <c r="J438" s="171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168"/>
      <c r="H439" s="1"/>
      <c r="I439" s="1"/>
      <c r="J439" s="171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168"/>
      <c r="H440" s="1"/>
      <c r="I440" s="1"/>
      <c r="J440" s="171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168"/>
      <c r="H441" s="1"/>
      <c r="I441" s="1"/>
      <c r="J441" s="171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168"/>
      <c r="H442" s="1"/>
      <c r="I442" s="1"/>
      <c r="J442" s="171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168"/>
      <c r="H443" s="1"/>
      <c r="I443" s="1"/>
      <c r="J443" s="171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168"/>
      <c r="H444" s="1"/>
      <c r="I444" s="1"/>
      <c r="J444" s="171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168"/>
      <c r="H445" s="1"/>
      <c r="I445" s="1"/>
      <c r="J445" s="171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168"/>
      <c r="H446" s="1"/>
      <c r="I446" s="1"/>
      <c r="J446" s="171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168"/>
      <c r="H447" s="1"/>
      <c r="I447" s="1"/>
      <c r="J447" s="171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168"/>
      <c r="H448" s="1"/>
      <c r="I448" s="1"/>
      <c r="J448" s="171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168"/>
      <c r="H449" s="1"/>
      <c r="I449" s="1"/>
      <c r="J449" s="171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168"/>
      <c r="H450" s="1"/>
      <c r="I450" s="1"/>
      <c r="J450" s="171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168"/>
      <c r="H451" s="1"/>
      <c r="I451" s="1"/>
      <c r="J451" s="171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168"/>
      <c r="H452" s="1"/>
      <c r="I452" s="1"/>
      <c r="J452" s="171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168"/>
      <c r="H453" s="1"/>
      <c r="I453" s="1"/>
      <c r="J453" s="171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168"/>
      <c r="H454" s="1"/>
      <c r="I454" s="1"/>
      <c r="J454" s="171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168"/>
      <c r="H455" s="1"/>
      <c r="I455" s="1"/>
      <c r="J455" s="171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168"/>
      <c r="H456" s="1"/>
      <c r="I456" s="1"/>
      <c r="J456" s="171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168"/>
      <c r="H457" s="1"/>
      <c r="I457" s="1"/>
      <c r="J457" s="171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168"/>
      <c r="H458" s="1"/>
      <c r="I458" s="1"/>
      <c r="J458" s="171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168"/>
      <c r="H459" s="1"/>
      <c r="I459" s="1"/>
      <c r="J459" s="171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168"/>
      <c r="H460" s="1"/>
      <c r="I460" s="1"/>
      <c r="J460" s="171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168"/>
      <c r="H461" s="1"/>
      <c r="I461" s="1"/>
      <c r="J461" s="171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168"/>
      <c r="H462" s="1"/>
      <c r="I462" s="1"/>
      <c r="J462" s="171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168"/>
      <c r="H463" s="1"/>
      <c r="I463" s="1"/>
      <c r="J463" s="171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168"/>
      <c r="H464" s="1"/>
      <c r="I464" s="1"/>
      <c r="J464" s="171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168"/>
      <c r="H465" s="1"/>
      <c r="I465" s="1"/>
      <c r="J465" s="171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168"/>
      <c r="H466" s="1"/>
      <c r="I466" s="1"/>
      <c r="J466" s="171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168"/>
      <c r="H467" s="1"/>
      <c r="I467" s="1"/>
      <c r="J467" s="171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168"/>
      <c r="H468" s="1"/>
      <c r="I468" s="1"/>
      <c r="J468" s="171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168"/>
      <c r="H469" s="1"/>
      <c r="I469" s="1"/>
      <c r="J469" s="171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168"/>
      <c r="H470" s="1"/>
      <c r="I470" s="1"/>
      <c r="J470" s="171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168"/>
      <c r="H471" s="1"/>
      <c r="I471" s="1"/>
      <c r="J471" s="171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168"/>
      <c r="H472" s="1"/>
      <c r="I472" s="1"/>
      <c r="J472" s="171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168"/>
      <c r="H473" s="1"/>
      <c r="I473" s="1"/>
      <c r="J473" s="171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168"/>
      <c r="H474" s="1"/>
      <c r="I474" s="1"/>
      <c r="J474" s="171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168"/>
      <c r="H475" s="1"/>
      <c r="I475" s="1"/>
      <c r="J475" s="171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168"/>
      <c r="H476" s="1"/>
      <c r="I476" s="1"/>
      <c r="J476" s="171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168"/>
      <c r="H477" s="1"/>
      <c r="I477" s="1"/>
      <c r="J477" s="171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168"/>
      <c r="H478" s="1"/>
      <c r="I478" s="1"/>
      <c r="J478" s="171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168"/>
      <c r="H479" s="1"/>
      <c r="I479" s="1"/>
      <c r="J479" s="171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168"/>
      <c r="H480" s="1"/>
      <c r="I480" s="1"/>
      <c r="J480" s="171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168"/>
      <c r="H481" s="1"/>
      <c r="I481" s="1"/>
      <c r="J481" s="171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168"/>
      <c r="H482" s="1"/>
      <c r="I482" s="1"/>
      <c r="J482" s="171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168"/>
      <c r="H483" s="1"/>
      <c r="I483" s="1"/>
      <c r="J483" s="171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168"/>
      <c r="H484" s="1"/>
      <c r="I484" s="1"/>
      <c r="J484" s="171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168"/>
      <c r="H485" s="1"/>
      <c r="I485" s="1"/>
      <c r="J485" s="171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168"/>
      <c r="H486" s="1"/>
      <c r="I486" s="1"/>
      <c r="J486" s="171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168"/>
      <c r="H487" s="1"/>
      <c r="I487" s="1"/>
      <c r="J487" s="171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168"/>
      <c r="H488" s="1"/>
      <c r="I488" s="1"/>
      <c r="J488" s="171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168"/>
      <c r="H489" s="1"/>
      <c r="I489" s="1"/>
      <c r="J489" s="171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168"/>
      <c r="H490" s="1"/>
      <c r="I490" s="1"/>
      <c r="J490" s="171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168"/>
      <c r="H491" s="1"/>
      <c r="I491" s="1"/>
      <c r="J491" s="171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168"/>
      <c r="H492" s="1"/>
      <c r="I492" s="1"/>
      <c r="J492" s="171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168"/>
      <c r="H493" s="1"/>
      <c r="I493" s="1"/>
      <c r="J493" s="171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168"/>
      <c r="H494" s="1"/>
      <c r="I494" s="1"/>
      <c r="J494" s="171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168"/>
      <c r="H495" s="1"/>
      <c r="I495" s="1"/>
      <c r="J495" s="171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168"/>
      <c r="H496" s="1"/>
      <c r="I496" s="1"/>
      <c r="J496" s="171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168"/>
      <c r="H497" s="1"/>
      <c r="I497" s="1"/>
      <c r="J497" s="171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168"/>
      <c r="H498" s="1"/>
      <c r="I498" s="1"/>
      <c r="J498" s="171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168"/>
      <c r="H499" s="1"/>
      <c r="I499" s="1"/>
      <c r="J499" s="171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168"/>
      <c r="H500" s="1"/>
      <c r="I500" s="1"/>
      <c r="J500" s="171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168"/>
      <c r="H501" s="1"/>
      <c r="I501" s="1"/>
      <c r="J501" s="171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168"/>
      <c r="H502" s="1"/>
      <c r="I502" s="1"/>
      <c r="J502" s="171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168"/>
      <c r="H503" s="1"/>
      <c r="I503" s="1"/>
      <c r="J503" s="171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168"/>
      <c r="H504" s="1"/>
      <c r="I504" s="1"/>
      <c r="J504" s="171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168"/>
      <c r="H505" s="1"/>
      <c r="I505" s="1"/>
      <c r="J505" s="171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168"/>
      <c r="H506" s="1"/>
      <c r="I506" s="1"/>
      <c r="J506" s="171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168"/>
      <c r="H507" s="1"/>
      <c r="I507" s="1"/>
      <c r="J507" s="171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168"/>
      <c r="H508" s="1"/>
      <c r="I508" s="1"/>
      <c r="J508" s="171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168"/>
      <c r="H509" s="1"/>
      <c r="I509" s="1"/>
      <c r="J509" s="171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168"/>
      <c r="H510" s="1"/>
      <c r="I510" s="1"/>
      <c r="J510" s="171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168"/>
      <c r="H511" s="1"/>
      <c r="I511" s="1"/>
      <c r="J511" s="171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168"/>
      <c r="H512" s="1"/>
      <c r="I512" s="1"/>
      <c r="J512" s="171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168"/>
      <c r="H513" s="1"/>
      <c r="I513" s="1"/>
      <c r="J513" s="171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168"/>
      <c r="H514" s="1"/>
      <c r="I514" s="1"/>
      <c r="J514" s="171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168"/>
      <c r="H515" s="1"/>
      <c r="I515" s="1"/>
      <c r="J515" s="171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168"/>
      <c r="H516" s="1"/>
      <c r="I516" s="1"/>
      <c r="J516" s="171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168"/>
      <c r="H517" s="1"/>
      <c r="I517" s="1"/>
      <c r="J517" s="171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168"/>
      <c r="H518" s="1"/>
      <c r="I518" s="1"/>
      <c r="J518" s="171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168"/>
      <c r="H519" s="1"/>
      <c r="I519" s="1"/>
      <c r="J519" s="171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168"/>
      <c r="H520" s="1"/>
      <c r="I520" s="1"/>
      <c r="J520" s="171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168"/>
      <c r="H521" s="1"/>
      <c r="I521" s="1"/>
      <c r="J521" s="171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168"/>
      <c r="H522" s="1"/>
      <c r="I522" s="1"/>
      <c r="J522" s="171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168"/>
      <c r="H523" s="1"/>
      <c r="I523" s="1"/>
      <c r="J523" s="171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168"/>
      <c r="H524" s="1"/>
      <c r="I524" s="1"/>
      <c r="J524" s="171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168"/>
      <c r="H525" s="1"/>
      <c r="I525" s="1"/>
      <c r="J525" s="171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168"/>
      <c r="H526" s="1"/>
      <c r="I526" s="1"/>
      <c r="J526" s="171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168"/>
      <c r="H527" s="1"/>
      <c r="I527" s="1"/>
      <c r="J527" s="171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168"/>
      <c r="H528" s="1"/>
      <c r="I528" s="1"/>
      <c r="J528" s="171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168"/>
      <c r="H529" s="1"/>
      <c r="I529" s="1"/>
      <c r="J529" s="171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168"/>
      <c r="H530" s="1"/>
      <c r="I530" s="1"/>
      <c r="J530" s="171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168"/>
      <c r="H531" s="1"/>
      <c r="I531" s="1"/>
      <c r="J531" s="171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168"/>
      <c r="H532" s="1"/>
      <c r="I532" s="1"/>
      <c r="J532" s="171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168"/>
      <c r="H533" s="1"/>
      <c r="I533" s="1"/>
      <c r="J533" s="171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168"/>
      <c r="H534" s="1"/>
      <c r="I534" s="1"/>
      <c r="J534" s="171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168"/>
      <c r="H535" s="1"/>
      <c r="I535" s="1"/>
      <c r="J535" s="171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168"/>
      <c r="H536" s="1"/>
      <c r="I536" s="1"/>
      <c r="J536" s="171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168"/>
      <c r="H537" s="1"/>
      <c r="I537" s="1"/>
      <c r="J537" s="171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168"/>
      <c r="H538" s="1"/>
      <c r="I538" s="1"/>
      <c r="J538" s="171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168"/>
      <c r="H539" s="1"/>
      <c r="I539" s="1"/>
      <c r="J539" s="171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168"/>
      <c r="H540" s="1"/>
      <c r="I540" s="1"/>
      <c r="J540" s="171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168"/>
      <c r="H541" s="1"/>
      <c r="I541" s="1"/>
      <c r="J541" s="171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168"/>
      <c r="H542" s="1"/>
      <c r="I542" s="1"/>
      <c r="J542" s="171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168"/>
      <c r="H543" s="1"/>
      <c r="I543" s="1"/>
      <c r="J543" s="171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168"/>
      <c r="H544" s="1"/>
      <c r="I544" s="1"/>
      <c r="J544" s="171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168"/>
      <c r="H545" s="1"/>
      <c r="I545" s="1"/>
      <c r="J545" s="171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168"/>
      <c r="H546" s="1"/>
      <c r="I546" s="1"/>
      <c r="J546" s="171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168"/>
      <c r="H547" s="1"/>
      <c r="I547" s="1"/>
      <c r="J547" s="171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168"/>
      <c r="H548" s="1"/>
      <c r="I548" s="1"/>
      <c r="J548" s="171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168"/>
      <c r="H549" s="1"/>
      <c r="I549" s="1"/>
      <c r="J549" s="171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168"/>
      <c r="H550" s="1"/>
      <c r="I550" s="1"/>
      <c r="J550" s="171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168"/>
      <c r="H551" s="1"/>
      <c r="I551" s="1"/>
      <c r="J551" s="171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168"/>
      <c r="H552" s="1"/>
      <c r="I552" s="1"/>
      <c r="J552" s="171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168"/>
      <c r="H553" s="1"/>
      <c r="I553" s="1"/>
      <c r="J553" s="171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168"/>
      <c r="H554" s="1"/>
      <c r="I554" s="1"/>
      <c r="J554" s="171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168"/>
      <c r="H555" s="1"/>
      <c r="I555" s="1"/>
      <c r="J555" s="171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168"/>
      <c r="H556" s="1"/>
      <c r="I556" s="1"/>
      <c r="J556" s="171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168"/>
      <c r="H557" s="1"/>
      <c r="I557" s="1"/>
      <c r="J557" s="171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168"/>
      <c r="H558" s="1"/>
      <c r="I558" s="1"/>
      <c r="J558" s="171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168"/>
      <c r="H559" s="1"/>
      <c r="I559" s="1"/>
      <c r="J559" s="171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168"/>
      <c r="H560" s="1"/>
      <c r="I560" s="1"/>
      <c r="J560" s="171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168"/>
      <c r="H561" s="1"/>
      <c r="I561" s="1"/>
      <c r="J561" s="171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168"/>
      <c r="H562" s="1"/>
      <c r="I562" s="1"/>
      <c r="J562" s="171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168"/>
      <c r="H563" s="1"/>
      <c r="I563" s="1"/>
      <c r="J563" s="171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168"/>
      <c r="H564" s="1"/>
      <c r="I564" s="1"/>
      <c r="J564" s="171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168"/>
      <c r="H565" s="1"/>
      <c r="I565" s="1"/>
      <c r="J565" s="171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168"/>
      <c r="H566" s="1"/>
      <c r="I566" s="1"/>
      <c r="J566" s="171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168"/>
      <c r="H567" s="1"/>
      <c r="I567" s="1"/>
      <c r="J567" s="171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168"/>
      <c r="H568" s="1"/>
      <c r="I568" s="1"/>
      <c r="J568" s="171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168"/>
      <c r="H569" s="1"/>
      <c r="I569" s="1"/>
      <c r="J569" s="171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168"/>
      <c r="H570" s="1"/>
      <c r="I570" s="1"/>
      <c r="J570" s="171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168"/>
      <c r="H571" s="1"/>
      <c r="I571" s="1"/>
      <c r="J571" s="171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168"/>
      <c r="H572" s="1"/>
      <c r="I572" s="1"/>
      <c r="J572" s="171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168"/>
      <c r="H573" s="1"/>
      <c r="I573" s="1"/>
      <c r="J573" s="171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168"/>
      <c r="H574" s="1"/>
      <c r="I574" s="1"/>
      <c r="J574" s="171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168"/>
      <c r="H575" s="1"/>
      <c r="I575" s="1"/>
      <c r="J575" s="171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168"/>
      <c r="H576" s="1"/>
      <c r="I576" s="1"/>
      <c r="J576" s="171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168"/>
      <c r="H577" s="1"/>
      <c r="I577" s="1"/>
      <c r="J577" s="171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168"/>
      <c r="H578" s="1"/>
      <c r="I578" s="1"/>
      <c r="J578" s="171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168"/>
      <c r="H579" s="1"/>
      <c r="I579" s="1"/>
      <c r="J579" s="171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168"/>
      <c r="H580" s="1"/>
      <c r="I580" s="1"/>
      <c r="J580" s="171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168"/>
      <c r="H581" s="1"/>
      <c r="I581" s="1"/>
      <c r="J581" s="171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168"/>
      <c r="H582" s="1"/>
      <c r="I582" s="1"/>
      <c r="J582" s="171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168"/>
      <c r="H583" s="1"/>
      <c r="I583" s="1"/>
      <c r="J583" s="171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168"/>
      <c r="H584" s="1"/>
      <c r="I584" s="1"/>
      <c r="J584" s="171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168"/>
      <c r="H585" s="1"/>
      <c r="I585" s="1"/>
      <c r="J585" s="171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168"/>
      <c r="H586" s="1"/>
      <c r="I586" s="1"/>
      <c r="J586" s="171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168"/>
      <c r="H587" s="1"/>
      <c r="I587" s="1"/>
      <c r="J587" s="171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168"/>
      <c r="H588" s="1"/>
      <c r="I588" s="1"/>
      <c r="J588" s="171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168"/>
      <c r="H589" s="1"/>
      <c r="I589" s="1"/>
      <c r="J589" s="171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168"/>
      <c r="H590" s="1"/>
      <c r="I590" s="1"/>
      <c r="J590" s="171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168"/>
      <c r="H591" s="1"/>
      <c r="I591" s="1"/>
      <c r="J591" s="171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168"/>
      <c r="H592" s="1"/>
      <c r="I592" s="1"/>
      <c r="J592" s="171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168"/>
      <c r="H593" s="1"/>
      <c r="I593" s="1"/>
      <c r="J593" s="171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168"/>
      <c r="H594" s="1"/>
      <c r="I594" s="1"/>
      <c r="J594" s="171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168"/>
      <c r="H595" s="1"/>
      <c r="I595" s="1"/>
      <c r="J595" s="171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168"/>
      <c r="H596" s="1"/>
      <c r="I596" s="1"/>
      <c r="J596" s="171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168"/>
      <c r="H597" s="1"/>
      <c r="I597" s="1"/>
      <c r="J597" s="171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168"/>
      <c r="H598" s="1"/>
      <c r="I598" s="1"/>
      <c r="J598" s="171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168"/>
      <c r="H599" s="1"/>
      <c r="I599" s="1"/>
      <c r="J599" s="171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168"/>
      <c r="H600" s="1"/>
      <c r="I600" s="1"/>
      <c r="J600" s="171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168"/>
      <c r="H601" s="1"/>
      <c r="I601" s="1"/>
      <c r="J601" s="171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168"/>
      <c r="H602" s="1"/>
      <c r="I602" s="1"/>
      <c r="J602" s="171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168"/>
      <c r="H603" s="1"/>
      <c r="I603" s="1"/>
      <c r="J603" s="171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168"/>
      <c r="H604" s="1"/>
      <c r="I604" s="1"/>
      <c r="J604" s="171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168"/>
      <c r="H605" s="1"/>
      <c r="I605" s="1"/>
      <c r="J605" s="171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168"/>
      <c r="H606" s="1"/>
      <c r="I606" s="1"/>
      <c r="J606" s="171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168"/>
      <c r="H607" s="1"/>
      <c r="I607" s="1"/>
      <c r="J607" s="171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168"/>
      <c r="H608" s="1"/>
      <c r="I608" s="1"/>
      <c r="J608" s="171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168"/>
      <c r="H609" s="1"/>
      <c r="I609" s="1"/>
      <c r="J609" s="171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168"/>
      <c r="H610" s="1"/>
      <c r="I610" s="1"/>
      <c r="J610" s="171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168"/>
      <c r="H611" s="1"/>
      <c r="I611" s="1"/>
      <c r="J611" s="171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168"/>
      <c r="H612" s="1"/>
      <c r="I612" s="1"/>
      <c r="J612" s="171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168"/>
      <c r="H613" s="1"/>
      <c r="I613" s="1"/>
      <c r="J613" s="171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168"/>
      <c r="H614" s="1"/>
      <c r="I614" s="1"/>
      <c r="J614" s="171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168"/>
      <c r="H615" s="1"/>
      <c r="I615" s="1"/>
      <c r="J615" s="171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168"/>
      <c r="H616" s="1"/>
      <c r="I616" s="1"/>
      <c r="J616" s="171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168"/>
      <c r="H617" s="1"/>
      <c r="I617" s="1"/>
      <c r="J617" s="171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168"/>
      <c r="H618" s="1"/>
      <c r="I618" s="1"/>
      <c r="J618" s="171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168"/>
      <c r="H619" s="1"/>
      <c r="I619" s="1"/>
      <c r="J619" s="171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168"/>
      <c r="H620" s="1"/>
      <c r="I620" s="1"/>
      <c r="J620" s="171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168"/>
      <c r="H621" s="1"/>
      <c r="I621" s="1"/>
      <c r="J621" s="171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168"/>
      <c r="H622" s="1"/>
      <c r="I622" s="1"/>
      <c r="J622" s="171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168"/>
      <c r="H623" s="1"/>
      <c r="I623" s="1"/>
      <c r="J623" s="171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168"/>
      <c r="H624" s="1"/>
      <c r="I624" s="1"/>
      <c r="J624" s="171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168"/>
      <c r="H625" s="1"/>
      <c r="I625" s="1"/>
      <c r="J625" s="171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168"/>
      <c r="H626" s="1"/>
      <c r="I626" s="1"/>
      <c r="J626" s="171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168"/>
      <c r="H627" s="1"/>
      <c r="I627" s="1"/>
      <c r="J627" s="171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168"/>
      <c r="H628" s="1"/>
      <c r="I628" s="1"/>
      <c r="J628" s="171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168"/>
      <c r="H629" s="1"/>
      <c r="I629" s="1"/>
      <c r="J629" s="171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168"/>
      <c r="H630" s="1"/>
      <c r="I630" s="1"/>
      <c r="J630" s="171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168"/>
      <c r="H631" s="1"/>
      <c r="I631" s="1"/>
      <c r="J631" s="171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168"/>
      <c r="H632" s="1"/>
      <c r="I632" s="1"/>
      <c r="J632" s="171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168"/>
      <c r="H633" s="1"/>
      <c r="I633" s="1"/>
      <c r="J633" s="171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168"/>
      <c r="H634" s="1"/>
      <c r="I634" s="1"/>
      <c r="J634" s="171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168"/>
      <c r="H635" s="1"/>
      <c r="I635" s="1"/>
      <c r="J635" s="171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168"/>
      <c r="H636" s="1"/>
      <c r="I636" s="1"/>
      <c r="J636" s="171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168"/>
      <c r="H637" s="1"/>
      <c r="I637" s="1"/>
      <c r="J637" s="171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168"/>
      <c r="H638" s="1"/>
      <c r="I638" s="1"/>
      <c r="J638" s="171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168"/>
      <c r="H639" s="1"/>
      <c r="I639" s="1"/>
      <c r="J639" s="171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168"/>
      <c r="H640" s="1"/>
      <c r="I640" s="1"/>
      <c r="J640" s="171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168"/>
      <c r="H641" s="1"/>
      <c r="I641" s="1"/>
      <c r="J641" s="171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168"/>
      <c r="H642" s="1"/>
      <c r="I642" s="1"/>
      <c r="J642" s="171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168"/>
      <c r="H643" s="1"/>
      <c r="I643" s="1"/>
      <c r="J643" s="171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168"/>
      <c r="H644" s="1"/>
      <c r="I644" s="1"/>
      <c r="J644" s="171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168"/>
      <c r="H645" s="1"/>
      <c r="I645" s="1"/>
      <c r="J645" s="171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168"/>
      <c r="H646" s="1"/>
      <c r="I646" s="1"/>
      <c r="J646" s="171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168"/>
      <c r="H647" s="1"/>
      <c r="I647" s="1"/>
      <c r="J647" s="171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168"/>
      <c r="H648" s="1"/>
      <c r="I648" s="1"/>
      <c r="J648" s="171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168"/>
      <c r="H649" s="1"/>
      <c r="I649" s="1"/>
      <c r="J649" s="171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168"/>
      <c r="H650" s="1"/>
      <c r="I650" s="1"/>
      <c r="J650" s="171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168"/>
      <c r="H651" s="1"/>
      <c r="I651" s="1"/>
      <c r="J651" s="171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168"/>
      <c r="H652" s="1"/>
      <c r="I652" s="1"/>
      <c r="J652" s="171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168"/>
      <c r="H653" s="1"/>
      <c r="I653" s="1"/>
      <c r="J653" s="171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168"/>
      <c r="H654" s="1"/>
      <c r="I654" s="1"/>
      <c r="J654" s="171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168"/>
      <c r="H655" s="1"/>
      <c r="I655" s="1"/>
      <c r="J655" s="171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168"/>
      <c r="H656" s="1"/>
      <c r="I656" s="1"/>
      <c r="J656" s="171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168"/>
      <c r="H657" s="1"/>
      <c r="I657" s="1"/>
      <c r="J657" s="171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168"/>
      <c r="H658" s="1"/>
      <c r="I658" s="1"/>
      <c r="J658" s="171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168"/>
      <c r="H659" s="1"/>
      <c r="I659" s="1"/>
      <c r="J659" s="171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168"/>
      <c r="H660" s="1"/>
      <c r="I660" s="1"/>
      <c r="J660" s="171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168"/>
      <c r="H661" s="1"/>
      <c r="I661" s="1"/>
      <c r="J661" s="171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168"/>
      <c r="H662" s="1"/>
      <c r="I662" s="1"/>
      <c r="J662" s="171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168"/>
      <c r="H663" s="1"/>
      <c r="I663" s="1"/>
      <c r="J663" s="171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168"/>
      <c r="H664" s="1"/>
      <c r="I664" s="1"/>
      <c r="J664" s="171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168"/>
      <c r="H665" s="1"/>
      <c r="I665" s="1"/>
      <c r="J665" s="171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168"/>
      <c r="H666" s="1"/>
      <c r="I666" s="1"/>
      <c r="J666" s="171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168"/>
      <c r="H667" s="1"/>
      <c r="I667" s="1"/>
      <c r="J667" s="171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168"/>
      <c r="H668" s="1"/>
      <c r="I668" s="1"/>
      <c r="J668" s="171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168"/>
      <c r="H669" s="1"/>
      <c r="I669" s="1"/>
      <c r="J669" s="171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168"/>
      <c r="H670" s="1"/>
      <c r="I670" s="1"/>
      <c r="J670" s="171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168"/>
      <c r="H671" s="1"/>
      <c r="I671" s="1"/>
      <c r="J671" s="171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168"/>
      <c r="H672" s="1"/>
      <c r="I672" s="1"/>
      <c r="J672" s="171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168"/>
      <c r="H673" s="1"/>
      <c r="I673" s="1"/>
      <c r="J673" s="171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168"/>
      <c r="H674" s="1"/>
      <c r="I674" s="1"/>
      <c r="J674" s="171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168"/>
      <c r="H675" s="1"/>
      <c r="I675" s="1"/>
      <c r="J675" s="171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168"/>
      <c r="H676" s="1"/>
      <c r="I676" s="1"/>
      <c r="J676" s="171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168"/>
      <c r="H677" s="1"/>
      <c r="I677" s="1"/>
      <c r="J677" s="171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168"/>
      <c r="H678" s="1"/>
      <c r="I678" s="1"/>
      <c r="J678" s="171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168"/>
      <c r="H679" s="1"/>
      <c r="I679" s="1"/>
      <c r="J679" s="171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168"/>
      <c r="H680" s="1"/>
      <c r="I680" s="1"/>
      <c r="J680" s="171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168"/>
      <c r="H681" s="1"/>
      <c r="I681" s="1"/>
      <c r="J681" s="171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168"/>
      <c r="H682" s="1"/>
      <c r="I682" s="1"/>
      <c r="J682" s="171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168"/>
      <c r="H683" s="1"/>
      <c r="I683" s="1"/>
      <c r="J683" s="171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168"/>
      <c r="H684" s="1"/>
      <c r="I684" s="1"/>
      <c r="J684" s="171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168"/>
      <c r="H685" s="1"/>
      <c r="I685" s="1"/>
      <c r="J685" s="171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168"/>
      <c r="H686" s="1"/>
      <c r="I686" s="1"/>
      <c r="J686" s="171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168"/>
      <c r="H687" s="1"/>
      <c r="I687" s="1"/>
      <c r="J687" s="171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168"/>
      <c r="H688" s="1"/>
      <c r="I688" s="1"/>
      <c r="J688" s="171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168"/>
      <c r="H689" s="1"/>
      <c r="I689" s="1"/>
      <c r="J689" s="171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168"/>
      <c r="H690" s="1"/>
      <c r="I690" s="1"/>
      <c r="J690" s="171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168"/>
      <c r="H691" s="1"/>
      <c r="I691" s="1"/>
      <c r="J691" s="171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168"/>
      <c r="H692" s="1"/>
      <c r="I692" s="1"/>
      <c r="J692" s="171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168"/>
      <c r="H693" s="1"/>
      <c r="I693" s="1"/>
      <c r="J693" s="171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168"/>
      <c r="H694" s="1"/>
      <c r="I694" s="1"/>
      <c r="J694" s="171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168"/>
      <c r="H695" s="1"/>
      <c r="I695" s="1"/>
      <c r="J695" s="171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168"/>
      <c r="H696" s="1"/>
      <c r="I696" s="1"/>
      <c r="J696" s="171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168"/>
      <c r="H697" s="1"/>
      <c r="I697" s="1"/>
      <c r="J697" s="171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168"/>
      <c r="H698" s="1"/>
      <c r="I698" s="1"/>
      <c r="J698" s="171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168"/>
      <c r="H699" s="1"/>
      <c r="I699" s="1"/>
      <c r="J699" s="171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168"/>
      <c r="H700" s="1"/>
      <c r="I700" s="1"/>
      <c r="J700" s="171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168"/>
      <c r="H701" s="1"/>
      <c r="I701" s="1"/>
      <c r="J701" s="171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168"/>
      <c r="H702" s="1"/>
      <c r="I702" s="1"/>
      <c r="J702" s="171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168"/>
      <c r="H703" s="1"/>
      <c r="I703" s="1"/>
      <c r="J703" s="171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168"/>
      <c r="H704" s="1"/>
      <c r="I704" s="1"/>
      <c r="J704" s="171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168"/>
      <c r="H705" s="1"/>
      <c r="I705" s="1"/>
      <c r="J705" s="171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168"/>
      <c r="H706" s="1"/>
      <c r="I706" s="1"/>
      <c r="J706" s="171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168"/>
      <c r="H707" s="1"/>
      <c r="I707" s="1"/>
      <c r="J707" s="171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168"/>
      <c r="H708" s="1"/>
      <c r="I708" s="1"/>
      <c r="J708" s="171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168"/>
      <c r="H709" s="1"/>
      <c r="I709" s="1"/>
      <c r="J709" s="171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168"/>
      <c r="H710" s="1"/>
      <c r="I710" s="1"/>
      <c r="J710" s="171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168"/>
      <c r="H711" s="1"/>
      <c r="I711" s="1"/>
      <c r="J711" s="171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168"/>
      <c r="H712" s="1"/>
      <c r="I712" s="1"/>
      <c r="J712" s="171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168"/>
      <c r="H713" s="1"/>
      <c r="I713" s="1"/>
      <c r="J713" s="171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168"/>
      <c r="H714" s="1"/>
      <c r="I714" s="1"/>
      <c r="J714" s="171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168"/>
      <c r="H715" s="1"/>
      <c r="I715" s="1"/>
      <c r="J715" s="171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168"/>
      <c r="H716" s="1"/>
      <c r="I716" s="1"/>
      <c r="J716" s="171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168"/>
      <c r="H717" s="1"/>
      <c r="I717" s="1"/>
      <c r="J717" s="171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168"/>
      <c r="H718" s="1"/>
      <c r="I718" s="1"/>
      <c r="J718" s="171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168"/>
      <c r="H719" s="1"/>
      <c r="I719" s="1"/>
      <c r="J719" s="171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168"/>
      <c r="H720" s="1"/>
      <c r="I720" s="1"/>
      <c r="J720" s="171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168"/>
      <c r="H721" s="1"/>
      <c r="I721" s="1"/>
      <c r="J721" s="171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168"/>
      <c r="H722" s="1"/>
      <c r="I722" s="1"/>
      <c r="J722" s="171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168"/>
      <c r="H723" s="1"/>
      <c r="I723" s="1"/>
      <c r="J723" s="171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168"/>
      <c r="H724" s="1"/>
      <c r="I724" s="1"/>
      <c r="J724" s="171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168"/>
      <c r="H725" s="1"/>
      <c r="I725" s="1"/>
      <c r="J725" s="171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168"/>
      <c r="H726" s="1"/>
      <c r="I726" s="1"/>
      <c r="J726" s="171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168"/>
      <c r="H727" s="1"/>
      <c r="I727" s="1"/>
      <c r="J727" s="171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168"/>
      <c r="H728" s="1"/>
      <c r="I728" s="1"/>
      <c r="J728" s="171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168"/>
      <c r="H729" s="1"/>
      <c r="I729" s="1"/>
      <c r="J729" s="171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168"/>
      <c r="H730" s="1"/>
      <c r="I730" s="1"/>
      <c r="J730" s="171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168"/>
      <c r="H731" s="1"/>
      <c r="I731" s="1"/>
      <c r="J731" s="171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168"/>
      <c r="H732" s="1"/>
      <c r="I732" s="1"/>
      <c r="J732" s="171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168"/>
      <c r="H733" s="1"/>
      <c r="I733" s="1"/>
      <c r="J733" s="171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168"/>
      <c r="H734" s="1"/>
      <c r="I734" s="1"/>
      <c r="J734" s="171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168"/>
      <c r="H735" s="1"/>
      <c r="I735" s="1"/>
      <c r="J735" s="171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168"/>
      <c r="H736" s="1"/>
      <c r="I736" s="1"/>
      <c r="J736" s="171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168"/>
      <c r="H737" s="1"/>
      <c r="I737" s="1"/>
      <c r="J737" s="171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168"/>
      <c r="H738" s="1"/>
      <c r="I738" s="1"/>
      <c r="J738" s="171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168"/>
      <c r="H739" s="1"/>
      <c r="I739" s="1"/>
      <c r="J739" s="171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168"/>
      <c r="H740" s="1"/>
      <c r="I740" s="1"/>
      <c r="J740" s="171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168"/>
      <c r="H741" s="1"/>
      <c r="I741" s="1"/>
      <c r="J741" s="171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168"/>
      <c r="H742" s="1"/>
      <c r="I742" s="1"/>
      <c r="J742" s="171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168"/>
      <c r="H743" s="1"/>
      <c r="I743" s="1"/>
      <c r="J743" s="171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168"/>
      <c r="H744" s="1"/>
      <c r="I744" s="1"/>
      <c r="J744" s="171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168"/>
      <c r="H745" s="1"/>
      <c r="I745" s="1"/>
      <c r="J745" s="171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168"/>
      <c r="H746" s="1"/>
      <c r="I746" s="1"/>
      <c r="J746" s="171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168"/>
      <c r="H747" s="1"/>
      <c r="I747" s="1"/>
      <c r="J747" s="171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168"/>
      <c r="H748" s="1"/>
      <c r="I748" s="1"/>
      <c r="J748" s="171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168"/>
      <c r="H749" s="1"/>
      <c r="I749" s="1"/>
      <c r="J749" s="171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168"/>
      <c r="H750" s="1"/>
      <c r="I750" s="1"/>
      <c r="J750" s="171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168"/>
      <c r="H751" s="1"/>
      <c r="I751" s="1"/>
      <c r="J751" s="171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168"/>
      <c r="H752" s="1"/>
      <c r="I752" s="1"/>
      <c r="J752" s="171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168"/>
      <c r="H753" s="1"/>
      <c r="I753" s="1"/>
      <c r="J753" s="171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168"/>
      <c r="H754" s="1"/>
      <c r="I754" s="1"/>
      <c r="J754" s="171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168"/>
      <c r="H755" s="1"/>
      <c r="I755" s="1"/>
      <c r="J755" s="171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168"/>
      <c r="H756" s="1"/>
      <c r="I756" s="1"/>
      <c r="J756" s="171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168"/>
      <c r="H757" s="1"/>
      <c r="I757" s="1"/>
      <c r="J757" s="171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168"/>
      <c r="H758" s="1"/>
      <c r="I758" s="1"/>
      <c r="J758" s="171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168"/>
      <c r="H759" s="1"/>
      <c r="I759" s="1"/>
      <c r="J759" s="171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168"/>
      <c r="H760" s="1"/>
      <c r="I760" s="1"/>
      <c r="J760" s="171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168"/>
      <c r="H761" s="1"/>
      <c r="I761" s="1"/>
      <c r="J761" s="171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168"/>
      <c r="H762" s="1"/>
      <c r="I762" s="1"/>
      <c r="J762" s="171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168"/>
      <c r="H763" s="1"/>
      <c r="I763" s="1"/>
      <c r="J763" s="171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168"/>
      <c r="H764" s="1"/>
      <c r="I764" s="1"/>
      <c r="J764" s="171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168"/>
      <c r="H765" s="1"/>
      <c r="I765" s="1"/>
      <c r="J765" s="171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168"/>
      <c r="H766" s="1"/>
      <c r="I766" s="1"/>
      <c r="J766" s="171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168"/>
      <c r="H767" s="1"/>
      <c r="I767" s="1"/>
      <c r="J767" s="171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168"/>
      <c r="H768" s="1"/>
      <c r="I768" s="1"/>
      <c r="J768" s="171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168"/>
      <c r="H769" s="1"/>
      <c r="I769" s="1"/>
      <c r="J769" s="171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168"/>
      <c r="H770" s="1"/>
      <c r="I770" s="1"/>
      <c r="J770" s="171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168"/>
      <c r="H771" s="1"/>
      <c r="I771" s="1"/>
      <c r="J771" s="171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168"/>
      <c r="H772" s="1"/>
      <c r="I772" s="1"/>
      <c r="J772" s="171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168"/>
      <c r="H773" s="1"/>
      <c r="I773" s="1"/>
      <c r="J773" s="171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168"/>
      <c r="H774" s="1"/>
      <c r="I774" s="1"/>
      <c r="J774" s="171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168"/>
      <c r="H775" s="1"/>
      <c r="I775" s="1"/>
      <c r="J775" s="171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168"/>
      <c r="H776" s="1"/>
      <c r="I776" s="1"/>
      <c r="J776" s="171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168"/>
      <c r="H777" s="1"/>
      <c r="I777" s="1"/>
      <c r="J777" s="171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168"/>
      <c r="H778" s="1"/>
      <c r="I778" s="1"/>
      <c r="J778" s="171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168"/>
      <c r="H779" s="1"/>
      <c r="I779" s="1"/>
      <c r="J779" s="171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168"/>
      <c r="H780" s="1"/>
      <c r="I780" s="1"/>
      <c r="J780" s="171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168"/>
      <c r="H781" s="1"/>
      <c r="I781" s="1"/>
      <c r="J781" s="171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168"/>
      <c r="H782" s="1"/>
      <c r="I782" s="1"/>
      <c r="J782" s="171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168"/>
      <c r="H783" s="1"/>
      <c r="I783" s="1"/>
      <c r="J783" s="171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168"/>
      <c r="H784" s="1"/>
      <c r="I784" s="1"/>
      <c r="J784" s="171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168"/>
      <c r="H785" s="1"/>
      <c r="I785" s="1"/>
      <c r="J785" s="171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168"/>
      <c r="H786" s="1"/>
      <c r="I786" s="1"/>
      <c r="J786" s="171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168"/>
      <c r="H787" s="1"/>
      <c r="I787" s="1"/>
      <c r="J787" s="171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168"/>
      <c r="H788" s="1"/>
      <c r="I788" s="1"/>
      <c r="J788" s="171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168"/>
      <c r="H789" s="1"/>
      <c r="I789" s="1"/>
      <c r="J789" s="171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168"/>
      <c r="H790" s="1"/>
      <c r="I790" s="1"/>
      <c r="J790" s="171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168"/>
      <c r="H791" s="1"/>
      <c r="I791" s="1"/>
      <c r="J791" s="171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168"/>
      <c r="H792" s="1"/>
      <c r="I792" s="1"/>
      <c r="J792" s="171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168"/>
      <c r="H793" s="1"/>
      <c r="I793" s="1"/>
      <c r="J793" s="171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168"/>
      <c r="H794" s="1"/>
      <c r="I794" s="1"/>
      <c r="J794" s="171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168"/>
      <c r="H795" s="1"/>
      <c r="I795" s="1"/>
      <c r="J795" s="171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168"/>
      <c r="H796" s="1"/>
      <c r="I796" s="1"/>
      <c r="J796" s="171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168"/>
      <c r="H797" s="1"/>
      <c r="I797" s="1"/>
      <c r="J797" s="171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168"/>
      <c r="H798" s="1"/>
      <c r="I798" s="1"/>
      <c r="J798" s="171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168"/>
      <c r="H799" s="1"/>
      <c r="I799" s="1"/>
      <c r="J799" s="171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168"/>
      <c r="H800" s="1"/>
      <c r="I800" s="1"/>
      <c r="J800" s="171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168"/>
      <c r="H801" s="1"/>
      <c r="I801" s="1"/>
      <c r="J801" s="171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168"/>
      <c r="H802" s="1"/>
      <c r="I802" s="1"/>
      <c r="J802" s="171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168"/>
      <c r="H803" s="1"/>
      <c r="I803" s="1"/>
      <c r="J803" s="171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168"/>
      <c r="H804" s="1"/>
      <c r="I804" s="1"/>
      <c r="J804" s="171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168"/>
      <c r="H805" s="1"/>
      <c r="I805" s="1"/>
      <c r="J805" s="171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168"/>
      <c r="H806" s="1"/>
      <c r="I806" s="1"/>
      <c r="J806" s="171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168"/>
      <c r="H807" s="1"/>
      <c r="I807" s="1"/>
      <c r="J807" s="171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168"/>
      <c r="H808" s="1"/>
      <c r="I808" s="1"/>
      <c r="J808" s="171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168"/>
      <c r="H809" s="1"/>
      <c r="I809" s="1"/>
      <c r="J809" s="171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168"/>
      <c r="H810" s="1"/>
      <c r="I810" s="1"/>
      <c r="J810" s="171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168"/>
      <c r="H811" s="1"/>
      <c r="I811" s="1"/>
      <c r="J811" s="171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168"/>
      <c r="H812" s="1"/>
      <c r="I812" s="1"/>
      <c r="J812" s="171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168"/>
      <c r="H813" s="1"/>
      <c r="I813" s="1"/>
      <c r="J813" s="171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168"/>
      <c r="H814" s="1"/>
      <c r="I814" s="1"/>
      <c r="J814" s="171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168"/>
      <c r="H815" s="1"/>
      <c r="I815" s="1"/>
      <c r="J815" s="171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168"/>
      <c r="H816" s="1"/>
      <c r="I816" s="1"/>
      <c r="J816" s="171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168"/>
      <c r="H817" s="1"/>
      <c r="I817" s="1"/>
      <c r="J817" s="171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168"/>
      <c r="H818" s="1"/>
      <c r="I818" s="1"/>
      <c r="J818" s="171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168"/>
      <c r="H819" s="1"/>
      <c r="I819" s="1"/>
      <c r="J819" s="171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168"/>
      <c r="H820" s="1"/>
      <c r="I820" s="1"/>
      <c r="J820" s="171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168"/>
      <c r="H821" s="1"/>
      <c r="I821" s="1"/>
      <c r="J821" s="171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168"/>
      <c r="H822" s="1"/>
      <c r="I822" s="1"/>
      <c r="J822" s="171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168"/>
      <c r="H823" s="1"/>
      <c r="I823" s="1"/>
      <c r="J823" s="171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168"/>
      <c r="H824" s="1"/>
      <c r="I824" s="1"/>
      <c r="J824" s="171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168"/>
      <c r="H825" s="1"/>
      <c r="I825" s="1"/>
      <c r="J825" s="171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168"/>
      <c r="H826" s="1"/>
      <c r="I826" s="1"/>
      <c r="J826" s="171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168"/>
      <c r="H827" s="1"/>
      <c r="I827" s="1"/>
      <c r="J827" s="171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168"/>
      <c r="H828" s="1"/>
      <c r="I828" s="1"/>
      <c r="J828" s="171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168"/>
      <c r="H829" s="1"/>
      <c r="I829" s="1"/>
      <c r="J829" s="171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168"/>
      <c r="H830" s="1"/>
      <c r="I830" s="1"/>
      <c r="J830" s="171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168"/>
      <c r="H831" s="1"/>
      <c r="I831" s="1"/>
      <c r="J831" s="171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168"/>
      <c r="H832" s="1"/>
      <c r="I832" s="1"/>
      <c r="J832" s="171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168"/>
      <c r="H833" s="1"/>
      <c r="I833" s="1"/>
      <c r="J833" s="171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168"/>
      <c r="H834" s="1"/>
      <c r="I834" s="1"/>
      <c r="J834" s="171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168"/>
      <c r="H835" s="1"/>
      <c r="I835" s="1"/>
      <c r="J835" s="171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168"/>
      <c r="H836" s="1"/>
      <c r="I836" s="1"/>
      <c r="J836" s="171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168"/>
      <c r="H837" s="1"/>
      <c r="I837" s="1"/>
      <c r="J837" s="171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168"/>
      <c r="H838" s="1"/>
      <c r="I838" s="1"/>
      <c r="J838" s="171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168"/>
      <c r="H839" s="1"/>
      <c r="I839" s="1"/>
      <c r="J839" s="171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168"/>
      <c r="H840" s="1"/>
      <c r="I840" s="1"/>
      <c r="J840" s="171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168"/>
      <c r="H841" s="1"/>
      <c r="I841" s="1"/>
      <c r="J841" s="171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168"/>
      <c r="H842" s="1"/>
      <c r="I842" s="1"/>
      <c r="J842" s="171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168"/>
      <c r="H843" s="1"/>
      <c r="I843" s="1"/>
      <c r="J843" s="171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168"/>
      <c r="H844" s="1"/>
      <c r="I844" s="1"/>
      <c r="J844" s="171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168"/>
      <c r="H845" s="1"/>
      <c r="I845" s="1"/>
      <c r="J845" s="171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168"/>
      <c r="H846" s="1"/>
      <c r="I846" s="1"/>
      <c r="J846" s="171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168"/>
      <c r="H847" s="1"/>
      <c r="I847" s="1"/>
      <c r="J847" s="171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168"/>
      <c r="H848" s="1"/>
      <c r="I848" s="1"/>
      <c r="J848" s="171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168"/>
      <c r="H849" s="1"/>
      <c r="I849" s="1"/>
      <c r="J849" s="171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168"/>
      <c r="H850" s="1"/>
      <c r="I850" s="1"/>
      <c r="J850" s="171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168"/>
      <c r="H851" s="1"/>
      <c r="I851" s="1"/>
      <c r="J851" s="171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168"/>
      <c r="H852" s="1"/>
      <c r="I852" s="1"/>
      <c r="J852" s="171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168"/>
      <c r="H853" s="1"/>
      <c r="I853" s="1"/>
      <c r="J853" s="171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168"/>
      <c r="H854" s="1"/>
      <c r="I854" s="1"/>
      <c r="J854" s="171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168"/>
      <c r="H855" s="1"/>
      <c r="I855" s="1"/>
      <c r="J855" s="171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168"/>
      <c r="H856" s="1"/>
      <c r="I856" s="1"/>
      <c r="J856" s="171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168"/>
      <c r="H857" s="1"/>
      <c r="I857" s="1"/>
      <c r="J857" s="171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168"/>
      <c r="H858" s="1"/>
      <c r="I858" s="1"/>
      <c r="J858" s="171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168"/>
      <c r="H859" s="1"/>
      <c r="I859" s="1"/>
      <c r="J859" s="171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168"/>
      <c r="H860" s="1"/>
      <c r="I860" s="1"/>
      <c r="J860" s="171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168"/>
      <c r="H861" s="1"/>
      <c r="I861" s="1"/>
      <c r="J861" s="171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168"/>
      <c r="H862" s="1"/>
      <c r="I862" s="1"/>
      <c r="J862" s="171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168"/>
      <c r="H863" s="1"/>
      <c r="I863" s="1"/>
      <c r="J863" s="171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168"/>
      <c r="H864" s="1"/>
      <c r="I864" s="1"/>
      <c r="J864" s="171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168"/>
      <c r="H865" s="1"/>
      <c r="I865" s="1"/>
      <c r="J865" s="171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168"/>
      <c r="H866" s="1"/>
      <c r="I866" s="1"/>
      <c r="J866" s="171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168"/>
      <c r="H867" s="1"/>
      <c r="I867" s="1"/>
      <c r="J867" s="171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168"/>
      <c r="H868" s="1"/>
      <c r="I868" s="1"/>
      <c r="J868" s="171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168"/>
      <c r="H869" s="1"/>
      <c r="I869" s="1"/>
      <c r="J869" s="171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168"/>
      <c r="H870" s="1"/>
      <c r="I870" s="1"/>
      <c r="J870" s="171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168"/>
      <c r="H871" s="1"/>
      <c r="I871" s="1"/>
      <c r="J871" s="171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168"/>
      <c r="H872" s="1"/>
      <c r="I872" s="1"/>
      <c r="J872" s="171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168"/>
      <c r="H873" s="1"/>
      <c r="I873" s="1"/>
      <c r="J873" s="171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168"/>
      <c r="H874" s="1"/>
      <c r="I874" s="1"/>
      <c r="J874" s="171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168"/>
      <c r="H875" s="1"/>
      <c r="I875" s="1"/>
      <c r="J875" s="171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168"/>
      <c r="H876" s="1"/>
      <c r="I876" s="1"/>
      <c r="J876" s="171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168"/>
      <c r="H877" s="1"/>
      <c r="I877" s="1"/>
      <c r="J877" s="171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168"/>
      <c r="H878" s="1"/>
      <c r="I878" s="1"/>
      <c r="J878" s="171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168"/>
      <c r="H879" s="1"/>
      <c r="I879" s="1"/>
      <c r="J879" s="171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168"/>
      <c r="H880" s="1"/>
      <c r="I880" s="1"/>
      <c r="J880" s="171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168"/>
      <c r="H881" s="1"/>
      <c r="I881" s="1"/>
      <c r="J881" s="171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168"/>
      <c r="H882" s="1"/>
      <c r="I882" s="1"/>
      <c r="J882" s="171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168"/>
      <c r="H883" s="1"/>
      <c r="I883" s="1"/>
      <c r="J883" s="171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168"/>
      <c r="H884" s="1"/>
      <c r="I884" s="1"/>
      <c r="J884" s="171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168"/>
      <c r="H885" s="1"/>
      <c r="I885" s="1"/>
      <c r="J885" s="171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168"/>
      <c r="H886" s="1"/>
      <c r="I886" s="1"/>
      <c r="J886" s="171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168"/>
      <c r="H887" s="1"/>
      <c r="I887" s="1"/>
      <c r="J887" s="171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168"/>
      <c r="H888" s="1"/>
      <c r="I888" s="1"/>
      <c r="J888" s="171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168"/>
      <c r="H889" s="1"/>
      <c r="I889" s="1"/>
      <c r="J889" s="171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168"/>
      <c r="H890" s="1"/>
      <c r="I890" s="1"/>
      <c r="J890" s="171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168"/>
      <c r="H891" s="1"/>
      <c r="I891" s="1"/>
      <c r="J891" s="171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168"/>
      <c r="H892" s="1"/>
      <c r="I892" s="1"/>
      <c r="J892" s="171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168"/>
      <c r="H893" s="1"/>
      <c r="I893" s="1"/>
      <c r="J893" s="171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168"/>
      <c r="H894" s="1"/>
      <c r="I894" s="1"/>
      <c r="J894" s="171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168"/>
      <c r="H895" s="1"/>
      <c r="I895" s="1"/>
      <c r="J895" s="171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168"/>
      <c r="H896" s="1"/>
      <c r="I896" s="1"/>
      <c r="J896" s="171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168"/>
      <c r="H897" s="1"/>
      <c r="I897" s="1"/>
      <c r="J897" s="171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168"/>
      <c r="H898" s="1"/>
      <c r="I898" s="1"/>
      <c r="J898" s="171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168"/>
      <c r="H899" s="1"/>
      <c r="I899" s="1"/>
      <c r="J899" s="171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168"/>
      <c r="H900" s="1"/>
      <c r="I900" s="1"/>
      <c r="J900" s="171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168"/>
      <c r="H901" s="1"/>
      <c r="I901" s="1"/>
      <c r="J901" s="171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168"/>
      <c r="H902" s="1"/>
      <c r="I902" s="1"/>
      <c r="J902" s="171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168"/>
      <c r="H903" s="1"/>
      <c r="I903" s="1"/>
      <c r="J903" s="171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168"/>
      <c r="H904" s="1"/>
      <c r="I904" s="1"/>
      <c r="J904" s="171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168"/>
      <c r="H905" s="1"/>
      <c r="I905" s="1"/>
      <c r="J905" s="171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168"/>
      <c r="H906" s="1"/>
      <c r="I906" s="1"/>
      <c r="J906" s="171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168"/>
      <c r="H907" s="1"/>
      <c r="I907" s="1"/>
      <c r="J907" s="171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168"/>
      <c r="H908" s="1"/>
      <c r="I908" s="1"/>
      <c r="J908" s="171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168"/>
      <c r="H909" s="1"/>
      <c r="I909" s="1"/>
      <c r="J909" s="171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168"/>
      <c r="H910" s="1"/>
      <c r="I910" s="1"/>
      <c r="J910" s="171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168"/>
      <c r="H911" s="1"/>
      <c r="I911" s="1"/>
      <c r="J911" s="171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168"/>
      <c r="H912" s="1"/>
      <c r="I912" s="1"/>
      <c r="J912" s="171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168"/>
      <c r="H913" s="1"/>
      <c r="I913" s="1"/>
      <c r="J913" s="171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168"/>
      <c r="H914" s="1"/>
      <c r="I914" s="1"/>
      <c r="J914" s="171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168"/>
      <c r="H915" s="1"/>
      <c r="I915" s="1"/>
      <c r="J915" s="171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168"/>
      <c r="H916" s="1"/>
      <c r="I916" s="1"/>
      <c r="J916" s="171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168"/>
      <c r="H917" s="1"/>
      <c r="I917" s="1"/>
      <c r="J917" s="171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168"/>
      <c r="H918" s="1"/>
      <c r="I918" s="1"/>
      <c r="J918" s="171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168"/>
      <c r="H919" s="1"/>
      <c r="I919" s="1"/>
      <c r="J919" s="171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168"/>
      <c r="H920" s="1"/>
      <c r="I920" s="1"/>
      <c r="J920" s="171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168"/>
      <c r="H921" s="1"/>
      <c r="I921" s="1"/>
      <c r="J921" s="171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168"/>
      <c r="H922" s="1"/>
      <c r="I922" s="1"/>
      <c r="J922" s="171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168"/>
      <c r="H923" s="1"/>
      <c r="I923" s="1"/>
      <c r="J923" s="171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168"/>
      <c r="H924" s="1"/>
      <c r="I924" s="1"/>
      <c r="J924" s="171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168"/>
      <c r="H925" s="1"/>
      <c r="I925" s="1"/>
      <c r="J925" s="171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168"/>
      <c r="H926" s="1"/>
      <c r="I926" s="1"/>
      <c r="J926" s="171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168"/>
      <c r="H927" s="1"/>
      <c r="I927" s="1"/>
      <c r="J927" s="171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168"/>
      <c r="H928" s="1"/>
      <c r="I928" s="1"/>
      <c r="J928" s="171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168"/>
      <c r="H929" s="1"/>
      <c r="I929" s="1"/>
      <c r="J929" s="171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168"/>
      <c r="H930" s="1"/>
      <c r="I930" s="1"/>
      <c r="J930" s="171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168"/>
      <c r="H931" s="1"/>
      <c r="I931" s="1"/>
      <c r="J931" s="171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168"/>
      <c r="H932" s="1"/>
      <c r="I932" s="1"/>
      <c r="J932" s="171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168"/>
      <c r="H933" s="1"/>
      <c r="I933" s="1"/>
      <c r="J933" s="171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168"/>
      <c r="H934" s="1"/>
      <c r="I934" s="1"/>
      <c r="J934" s="171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168"/>
      <c r="H935" s="1"/>
      <c r="I935" s="1"/>
      <c r="J935" s="171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168"/>
      <c r="H936" s="1"/>
      <c r="I936" s="1"/>
      <c r="J936" s="171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168"/>
      <c r="H937" s="1"/>
      <c r="I937" s="1"/>
      <c r="J937" s="171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168"/>
      <c r="H938" s="1"/>
      <c r="I938" s="1"/>
      <c r="J938" s="171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168"/>
      <c r="H939" s="1"/>
      <c r="I939" s="1"/>
      <c r="J939" s="171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168"/>
      <c r="H940" s="1"/>
      <c r="I940" s="1"/>
      <c r="J940" s="171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168"/>
      <c r="H941" s="1"/>
      <c r="I941" s="1"/>
      <c r="J941" s="171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168"/>
      <c r="H942" s="1"/>
      <c r="I942" s="1"/>
      <c r="J942" s="171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168"/>
      <c r="H943" s="1"/>
      <c r="I943" s="1"/>
      <c r="J943" s="171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168"/>
      <c r="H944" s="1"/>
      <c r="I944" s="1"/>
      <c r="J944" s="171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168"/>
      <c r="H945" s="1"/>
      <c r="I945" s="1"/>
      <c r="J945" s="171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168"/>
      <c r="H946" s="1"/>
      <c r="I946" s="1"/>
      <c r="J946" s="171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168"/>
      <c r="H947" s="1"/>
      <c r="I947" s="1"/>
      <c r="J947" s="171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168"/>
      <c r="H948" s="1"/>
      <c r="I948" s="1"/>
      <c r="J948" s="171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168"/>
      <c r="H949" s="1"/>
      <c r="I949" s="1"/>
      <c r="J949" s="171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168"/>
      <c r="H950" s="1"/>
      <c r="I950" s="1"/>
      <c r="J950" s="171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168"/>
      <c r="H951" s="1"/>
      <c r="I951" s="1"/>
      <c r="J951" s="171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168"/>
      <c r="H952" s="1"/>
      <c r="I952" s="1"/>
      <c r="J952" s="171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168"/>
      <c r="H953" s="1"/>
      <c r="I953" s="1"/>
      <c r="J953" s="171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168"/>
      <c r="H954" s="1"/>
      <c r="I954" s="1"/>
      <c r="J954" s="171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168"/>
      <c r="H955" s="1"/>
      <c r="I955" s="1"/>
      <c r="J955" s="171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168"/>
      <c r="H956" s="1"/>
      <c r="I956" s="1"/>
      <c r="J956" s="171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168"/>
      <c r="H957" s="1"/>
      <c r="I957" s="1"/>
      <c r="J957" s="171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168"/>
      <c r="H958" s="1"/>
      <c r="I958" s="1"/>
      <c r="J958" s="171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168"/>
      <c r="H959" s="1"/>
      <c r="I959" s="1"/>
      <c r="J959" s="171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168"/>
      <c r="H960" s="1"/>
      <c r="I960" s="1"/>
      <c r="J960" s="171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168"/>
      <c r="H961" s="1"/>
      <c r="I961" s="1"/>
      <c r="J961" s="171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168"/>
      <c r="H962" s="1"/>
      <c r="I962" s="1"/>
      <c r="J962" s="171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168"/>
      <c r="H963" s="1"/>
      <c r="I963" s="1"/>
      <c r="J963" s="171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168"/>
      <c r="H964" s="1"/>
      <c r="I964" s="1"/>
      <c r="J964" s="171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168"/>
      <c r="H965" s="1"/>
      <c r="I965" s="1"/>
      <c r="J965" s="171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168"/>
      <c r="H966" s="1"/>
      <c r="I966" s="1"/>
      <c r="J966" s="171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168"/>
      <c r="H967" s="1"/>
      <c r="I967" s="1"/>
      <c r="J967" s="171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168"/>
      <c r="H968" s="1"/>
      <c r="I968" s="1"/>
      <c r="J968" s="171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168"/>
      <c r="H969" s="1"/>
      <c r="I969" s="1"/>
      <c r="J969" s="171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168"/>
      <c r="H970" s="1"/>
      <c r="I970" s="1"/>
      <c r="J970" s="171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168"/>
      <c r="H971" s="1"/>
      <c r="I971" s="1"/>
      <c r="J971" s="171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168"/>
      <c r="H972" s="1"/>
      <c r="I972" s="1"/>
      <c r="J972" s="171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168"/>
      <c r="H973" s="1"/>
      <c r="I973" s="1"/>
      <c r="J973" s="171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168"/>
      <c r="H974" s="1"/>
      <c r="I974" s="1"/>
      <c r="J974" s="171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168"/>
      <c r="H975" s="1"/>
      <c r="I975" s="1"/>
      <c r="J975" s="171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168"/>
      <c r="H976" s="1"/>
      <c r="I976" s="1"/>
      <c r="J976" s="171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168"/>
      <c r="H977" s="1"/>
      <c r="I977" s="1"/>
      <c r="J977" s="171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168"/>
      <c r="H978" s="1"/>
      <c r="I978" s="1"/>
      <c r="J978" s="171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168"/>
      <c r="H979" s="1"/>
      <c r="I979" s="1"/>
      <c r="J979" s="171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168"/>
      <c r="H980" s="1"/>
      <c r="I980" s="1"/>
      <c r="J980" s="171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168"/>
      <c r="H981" s="1"/>
      <c r="I981" s="1"/>
      <c r="J981" s="171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168"/>
      <c r="H982" s="1"/>
      <c r="I982" s="1"/>
      <c r="J982" s="171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168"/>
      <c r="H983" s="1"/>
      <c r="I983" s="1"/>
      <c r="J983" s="171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168"/>
      <c r="H984" s="1"/>
      <c r="I984" s="1"/>
      <c r="J984" s="171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168"/>
      <c r="H985" s="1"/>
      <c r="I985" s="1"/>
      <c r="J985" s="171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168"/>
      <c r="H986" s="1"/>
      <c r="I986" s="1"/>
      <c r="J986" s="171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168"/>
      <c r="H987" s="1"/>
      <c r="I987" s="1"/>
      <c r="J987" s="171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168"/>
      <c r="H988" s="1"/>
      <c r="I988" s="1"/>
      <c r="J988" s="171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168"/>
      <c r="H989" s="1"/>
      <c r="I989" s="1"/>
      <c r="J989" s="171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168"/>
      <c r="H990" s="1"/>
      <c r="I990" s="1"/>
      <c r="J990" s="171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168"/>
      <c r="H991" s="1"/>
      <c r="I991" s="1"/>
      <c r="J991" s="171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168"/>
      <c r="H992" s="1"/>
      <c r="I992" s="1"/>
      <c r="J992" s="171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168"/>
      <c r="H993" s="1"/>
      <c r="I993" s="1"/>
      <c r="J993" s="171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168"/>
      <c r="H994" s="1"/>
      <c r="I994" s="1"/>
      <c r="J994" s="171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168"/>
      <c r="H995" s="1"/>
      <c r="I995" s="1"/>
      <c r="J995" s="171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168"/>
      <c r="H996" s="1"/>
      <c r="I996" s="1"/>
      <c r="J996" s="171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168"/>
      <c r="H997" s="1"/>
      <c r="I997" s="1"/>
      <c r="J997" s="171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168"/>
      <c r="H998" s="1"/>
      <c r="I998" s="1"/>
      <c r="J998" s="171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168"/>
      <c r="H999" s="1"/>
      <c r="I999" s="1"/>
      <c r="J999" s="171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168"/>
      <c r="H1000" s="1"/>
      <c r="I1000" s="1"/>
      <c r="J1000" s="171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G6"/>
    <hyperlink r:id="rId2" ref="Q6"/>
    <hyperlink r:id="rId3" ref="Q8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5" t="s">
        <v>2</v>
      </c>
      <c r="C1" s="7"/>
      <c r="D1" s="9"/>
      <c r="E1" s="12" t="s">
        <v>3</v>
      </c>
      <c r="F1" s="7"/>
      <c r="G1" s="7"/>
      <c r="H1" s="7"/>
      <c r="I1" s="7"/>
      <c r="J1" s="7"/>
      <c r="K1" s="7"/>
      <c r="L1" s="15" t="s">
        <v>1</v>
      </c>
      <c r="M1" s="7"/>
      <c r="N1" s="7"/>
      <c r="O1" s="17"/>
      <c r="P1" s="7"/>
      <c r="Q1" s="7"/>
      <c r="R1" s="7"/>
      <c r="S1" s="7"/>
      <c r="T1" s="7"/>
      <c r="U1" s="7"/>
      <c r="V1" s="9"/>
      <c r="W1" s="1"/>
      <c r="X1" s="1"/>
      <c r="Y1" s="1"/>
      <c r="Z1" s="1"/>
    </row>
    <row r="2" ht="31.5" customHeight="1">
      <c r="A2" s="2"/>
      <c r="B2" s="20" t="s">
        <v>8</v>
      </c>
      <c r="C2" s="7"/>
      <c r="D2" s="9"/>
      <c r="E2" s="12" t="s">
        <v>3</v>
      </c>
      <c r="F2" s="7"/>
      <c r="G2" s="7"/>
      <c r="H2" s="7"/>
      <c r="I2" s="7"/>
      <c r="J2" s="7"/>
      <c r="K2" s="7"/>
      <c r="L2" s="15" t="s">
        <v>5</v>
      </c>
      <c r="M2" s="7"/>
      <c r="N2" s="7"/>
      <c r="O2" s="17"/>
      <c r="P2" s="7"/>
      <c r="Q2" s="7"/>
      <c r="R2" s="7"/>
      <c r="S2" s="7"/>
      <c r="T2" s="7"/>
      <c r="U2" s="7"/>
      <c r="V2" s="9"/>
      <c r="W2" s="1"/>
      <c r="X2" s="1"/>
      <c r="Y2" s="1"/>
      <c r="Z2" s="1"/>
    </row>
    <row r="3" ht="55.5" customHeight="1">
      <c r="A3" s="27" t="s">
        <v>12</v>
      </c>
      <c r="B3" s="27" t="s">
        <v>20</v>
      </c>
      <c r="C3" s="27" t="s">
        <v>22</v>
      </c>
      <c r="D3" s="27" t="s">
        <v>24</v>
      </c>
      <c r="E3" s="32" t="s">
        <v>27</v>
      </c>
      <c r="F3" s="7"/>
      <c r="G3" s="9"/>
      <c r="H3" s="32" t="s">
        <v>29</v>
      </c>
      <c r="I3" s="7"/>
      <c r="J3" s="9"/>
      <c r="K3" s="32" t="s">
        <v>31</v>
      </c>
      <c r="L3" s="7"/>
      <c r="M3" s="9"/>
      <c r="N3" s="32" t="s">
        <v>32</v>
      </c>
      <c r="O3" s="7"/>
      <c r="P3" s="9"/>
      <c r="Q3" s="27" t="s">
        <v>33</v>
      </c>
      <c r="R3" s="36"/>
      <c r="S3" s="7"/>
      <c r="T3" s="7"/>
      <c r="U3" s="7"/>
      <c r="V3" s="9"/>
      <c r="W3" s="38"/>
      <c r="X3" s="38"/>
      <c r="Y3" s="38"/>
      <c r="Z3" s="38"/>
    </row>
    <row r="4" ht="55.5" customHeight="1">
      <c r="A4" s="40"/>
      <c r="B4" s="40"/>
      <c r="C4" s="40"/>
      <c r="D4" s="40"/>
      <c r="E4" s="41" t="s">
        <v>42</v>
      </c>
      <c r="F4" s="41" t="s">
        <v>45</v>
      </c>
      <c r="G4" s="41" t="s">
        <v>47</v>
      </c>
      <c r="H4" s="41" t="s">
        <v>48</v>
      </c>
      <c r="I4" s="41" t="s">
        <v>50</v>
      </c>
      <c r="J4" s="41" t="s">
        <v>51</v>
      </c>
      <c r="K4" s="41" t="s">
        <v>48</v>
      </c>
      <c r="L4" s="41" t="s">
        <v>50</v>
      </c>
      <c r="M4" s="41" t="s">
        <v>51</v>
      </c>
      <c r="N4" s="41" t="s">
        <v>48</v>
      </c>
      <c r="O4" s="41" t="s">
        <v>50</v>
      </c>
      <c r="P4" s="41" t="s">
        <v>51</v>
      </c>
      <c r="Q4" s="40"/>
      <c r="R4" s="41" t="s">
        <v>56</v>
      </c>
      <c r="S4" s="41" t="s">
        <v>57</v>
      </c>
      <c r="T4" s="41" t="s">
        <v>58</v>
      </c>
      <c r="U4" s="41" t="s">
        <v>61</v>
      </c>
      <c r="V4" s="41" t="s">
        <v>63</v>
      </c>
      <c r="W4" s="1"/>
      <c r="X4" s="1"/>
      <c r="Y4" s="1"/>
      <c r="Z4" s="1"/>
    </row>
    <row r="5" ht="15.75" customHeight="1">
      <c r="A5" s="52">
        <f>IF(B5="","",ROW()-4)</f>
        <v>1</v>
      </c>
      <c r="B5" s="55" t="s">
        <v>83</v>
      </c>
      <c r="C5" s="57">
        <v>2018.0</v>
      </c>
      <c r="D5" s="57" t="s">
        <v>94</v>
      </c>
      <c r="E5" s="58">
        <v>1.0</v>
      </c>
      <c r="F5" s="58">
        <v>2.0</v>
      </c>
      <c r="G5" s="58">
        <v>4.0</v>
      </c>
      <c r="H5" s="59">
        <v>10625.0</v>
      </c>
      <c r="I5" s="60">
        <v>10625.0</v>
      </c>
      <c r="J5" s="60">
        <v>10625.0</v>
      </c>
      <c r="K5" s="58">
        <v>60.0</v>
      </c>
      <c r="L5" s="58">
        <v>60.0</v>
      </c>
      <c r="M5" s="58">
        <v>60.0</v>
      </c>
      <c r="N5" s="61">
        <v>7.0</v>
      </c>
      <c r="O5" s="61">
        <v>8.0</v>
      </c>
      <c r="P5" s="61">
        <v>10.0</v>
      </c>
      <c r="Q5" s="62" t="s">
        <v>104</v>
      </c>
      <c r="R5" s="64" t="s">
        <v>54</v>
      </c>
      <c r="S5" s="64" t="s">
        <v>54</v>
      </c>
      <c r="T5" s="64" t="s">
        <v>53</v>
      </c>
      <c r="U5" s="64" t="s">
        <v>54</v>
      </c>
      <c r="V5" s="64" t="s">
        <v>53</v>
      </c>
      <c r="W5" s="1"/>
      <c r="X5" s="1"/>
      <c r="Y5" s="1"/>
      <c r="Z5" s="1"/>
    </row>
    <row r="6" ht="15.75" customHeight="1">
      <c r="A6" s="68">
        <v>2.0</v>
      </c>
      <c r="B6" s="55" t="s">
        <v>112</v>
      </c>
      <c r="C6" s="57">
        <v>2019.0</v>
      </c>
      <c r="D6" s="57" t="s">
        <v>94</v>
      </c>
      <c r="E6" s="58">
        <v>0.0</v>
      </c>
      <c r="F6" s="58">
        <v>0.0</v>
      </c>
      <c r="G6" s="58">
        <v>0.0</v>
      </c>
      <c r="H6" s="59">
        <v>6474.0</v>
      </c>
      <c r="I6" s="59">
        <v>6474.0</v>
      </c>
      <c r="J6" s="59">
        <v>6474.0</v>
      </c>
      <c r="K6" s="58">
        <v>60.0</v>
      </c>
      <c r="L6" s="58">
        <v>60.0</v>
      </c>
      <c r="M6" s="58">
        <v>60.0</v>
      </c>
      <c r="N6" s="61">
        <v>38.0</v>
      </c>
      <c r="O6" s="61">
        <v>30.0</v>
      </c>
      <c r="P6" s="61">
        <v>40.0</v>
      </c>
      <c r="Q6" s="62" t="s">
        <v>104</v>
      </c>
      <c r="R6" s="64" t="s">
        <v>54</v>
      </c>
      <c r="S6" s="64" t="s">
        <v>54</v>
      </c>
      <c r="T6" s="64" t="s">
        <v>54</v>
      </c>
      <c r="U6" s="64" t="s">
        <v>54</v>
      </c>
      <c r="V6" s="64" t="s">
        <v>53</v>
      </c>
      <c r="W6" s="1"/>
      <c r="X6" s="1"/>
      <c r="Y6" s="1"/>
      <c r="Z6" s="1"/>
    </row>
    <row r="7" ht="15.75" customHeight="1">
      <c r="A7" s="52" t="str">
        <f t="shared" ref="A7:A34" si="1">IF(B7="","",ROW()-4)</f>
        <v/>
      </c>
      <c r="B7" s="81"/>
      <c r="C7" s="81"/>
      <c r="D7" s="81"/>
      <c r="E7" s="83"/>
      <c r="F7" s="83"/>
      <c r="G7" s="83"/>
      <c r="H7" s="85"/>
      <c r="I7" s="85"/>
      <c r="J7" s="85"/>
      <c r="K7" s="83"/>
      <c r="L7" s="83"/>
      <c r="M7" s="83"/>
      <c r="N7" s="89"/>
      <c r="O7" s="89"/>
      <c r="P7" s="89"/>
      <c r="Q7" s="90"/>
      <c r="R7" s="91"/>
      <c r="S7" s="91"/>
      <c r="T7" s="91"/>
      <c r="U7" s="91"/>
      <c r="V7" s="91"/>
      <c r="W7" s="1"/>
      <c r="X7" s="1"/>
      <c r="Y7" s="1"/>
      <c r="Z7" s="1"/>
    </row>
    <row r="8" ht="15.75" customHeight="1">
      <c r="A8" s="52" t="str">
        <f t="shared" si="1"/>
        <v/>
      </c>
      <c r="B8" s="81"/>
      <c r="C8" s="81"/>
      <c r="D8" s="81"/>
      <c r="E8" s="83"/>
      <c r="F8" s="83"/>
      <c r="G8" s="83"/>
      <c r="H8" s="85"/>
      <c r="I8" s="85"/>
      <c r="J8" s="85"/>
      <c r="K8" s="83"/>
      <c r="L8" s="83"/>
      <c r="M8" s="83"/>
      <c r="N8" s="89"/>
      <c r="O8" s="89"/>
      <c r="P8" s="89"/>
      <c r="Q8" s="90"/>
      <c r="R8" s="91"/>
      <c r="S8" s="91"/>
      <c r="T8" s="91"/>
      <c r="U8" s="91"/>
      <c r="V8" s="91"/>
      <c r="W8" s="1"/>
      <c r="X8" s="1"/>
      <c r="Y8" s="1"/>
      <c r="Z8" s="1"/>
    </row>
    <row r="9" ht="15.75" customHeight="1">
      <c r="A9" s="52" t="str">
        <f t="shared" si="1"/>
        <v/>
      </c>
      <c r="B9" s="81"/>
      <c r="C9" s="81"/>
      <c r="D9" s="81"/>
      <c r="E9" s="83"/>
      <c r="F9" s="83"/>
      <c r="G9" s="83"/>
      <c r="H9" s="85"/>
      <c r="I9" s="85"/>
      <c r="J9" s="85"/>
      <c r="K9" s="83"/>
      <c r="L9" s="83"/>
      <c r="M9" s="83"/>
      <c r="N9" s="89"/>
      <c r="O9" s="89"/>
      <c r="P9" s="89"/>
      <c r="Q9" s="90"/>
      <c r="R9" s="91"/>
      <c r="S9" s="91"/>
      <c r="T9" s="91"/>
      <c r="U9" s="91"/>
      <c r="V9" s="91"/>
      <c r="W9" s="1"/>
      <c r="X9" s="1"/>
      <c r="Y9" s="1"/>
      <c r="Z9" s="1"/>
    </row>
    <row r="10" ht="15.75" customHeight="1">
      <c r="A10" s="52" t="str">
        <f t="shared" si="1"/>
        <v/>
      </c>
      <c r="B10" s="81"/>
      <c r="C10" s="81"/>
      <c r="D10" s="81"/>
      <c r="E10" s="83"/>
      <c r="F10" s="83"/>
      <c r="G10" s="83"/>
      <c r="H10" s="85"/>
      <c r="I10" s="85"/>
      <c r="J10" s="85"/>
      <c r="K10" s="83"/>
      <c r="L10" s="83"/>
      <c r="M10" s="83"/>
      <c r="N10" s="89"/>
      <c r="O10" s="89"/>
      <c r="P10" s="89"/>
      <c r="Q10" s="90"/>
      <c r="R10" s="91"/>
      <c r="S10" s="91"/>
      <c r="T10" s="91"/>
      <c r="U10" s="91"/>
      <c r="V10" s="91"/>
      <c r="W10" s="1"/>
      <c r="X10" s="1"/>
      <c r="Y10" s="1"/>
      <c r="Z10" s="1"/>
    </row>
    <row r="11" ht="15.75" customHeight="1">
      <c r="A11" s="52" t="str">
        <f t="shared" si="1"/>
        <v/>
      </c>
      <c r="B11" s="81"/>
      <c r="C11" s="81"/>
      <c r="D11" s="81"/>
      <c r="E11" s="83"/>
      <c r="F11" s="83"/>
      <c r="G11" s="83"/>
      <c r="H11" s="85"/>
      <c r="I11" s="85"/>
      <c r="J11" s="85"/>
      <c r="K11" s="83"/>
      <c r="L11" s="83"/>
      <c r="M11" s="83"/>
      <c r="N11" s="89"/>
      <c r="O11" s="89"/>
      <c r="P11" s="89"/>
      <c r="Q11" s="90"/>
      <c r="R11" s="91"/>
      <c r="S11" s="91"/>
      <c r="T11" s="91"/>
      <c r="U11" s="91"/>
      <c r="V11" s="91"/>
      <c r="W11" s="1"/>
      <c r="X11" s="1"/>
      <c r="Y11" s="1"/>
      <c r="Z11" s="1"/>
    </row>
    <row r="12" ht="15.75" customHeight="1">
      <c r="A12" s="52" t="str">
        <f t="shared" si="1"/>
        <v/>
      </c>
      <c r="B12" s="81"/>
      <c r="C12" s="81"/>
      <c r="D12" s="81"/>
      <c r="E12" s="83"/>
      <c r="F12" s="83"/>
      <c r="G12" s="83"/>
      <c r="H12" s="85"/>
      <c r="I12" s="85"/>
      <c r="J12" s="85"/>
      <c r="K12" s="83"/>
      <c r="L12" s="83"/>
      <c r="M12" s="83"/>
      <c r="N12" s="89"/>
      <c r="O12" s="89"/>
      <c r="P12" s="89"/>
      <c r="Q12" s="90"/>
      <c r="R12" s="91"/>
      <c r="S12" s="91"/>
      <c r="T12" s="91"/>
      <c r="U12" s="91"/>
      <c r="V12" s="91"/>
      <c r="W12" s="1"/>
      <c r="X12" s="1"/>
      <c r="Y12" s="1"/>
      <c r="Z12" s="1"/>
    </row>
    <row r="13" ht="15.75" customHeight="1">
      <c r="A13" s="52" t="str">
        <f t="shared" si="1"/>
        <v/>
      </c>
      <c r="B13" s="81"/>
      <c r="C13" s="81"/>
      <c r="D13" s="81"/>
      <c r="E13" s="83"/>
      <c r="F13" s="83"/>
      <c r="G13" s="83"/>
      <c r="H13" s="85"/>
      <c r="I13" s="85"/>
      <c r="J13" s="85"/>
      <c r="K13" s="83"/>
      <c r="L13" s="83"/>
      <c r="M13" s="83"/>
      <c r="N13" s="89"/>
      <c r="O13" s="89"/>
      <c r="P13" s="89"/>
      <c r="Q13" s="90"/>
      <c r="R13" s="91"/>
      <c r="S13" s="91"/>
      <c r="T13" s="91"/>
      <c r="U13" s="91"/>
      <c r="V13" s="91"/>
      <c r="W13" s="1"/>
      <c r="X13" s="1"/>
      <c r="Y13" s="1"/>
      <c r="Z13" s="1"/>
    </row>
    <row r="14" ht="15.75" customHeight="1">
      <c r="A14" s="52" t="str">
        <f t="shared" si="1"/>
        <v/>
      </c>
      <c r="B14" s="81"/>
      <c r="C14" s="81"/>
      <c r="D14" s="81"/>
      <c r="E14" s="83"/>
      <c r="F14" s="83"/>
      <c r="G14" s="83"/>
      <c r="H14" s="85"/>
      <c r="I14" s="85"/>
      <c r="J14" s="85"/>
      <c r="K14" s="83"/>
      <c r="L14" s="83"/>
      <c r="M14" s="83"/>
      <c r="N14" s="89"/>
      <c r="O14" s="89"/>
      <c r="P14" s="89"/>
      <c r="Q14" s="90"/>
      <c r="R14" s="91"/>
      <c r="S14" s="91"/>
      <c r="T14" s="91"/>
      <c r="U14" s="91"/>
      <c r="V14" s="91"/>
      <c r="W14" s="1"/>
      <c r="X14" s="1"/>
      <c r="Y14" s="1"/>
      <c r="Z14" s="1"/>
    </row>
    <row r="15" ht="15.75" customHeight="1">
      <c r="A15" s="52" t="str">
        <f t="shared" si="1"/>
        <v/>
      </c>
      <c r="B15" s="81"/>
      <c r="C15" s="81"/>
      <c r="D15" s="81"/>
      <c r="E15" s="83"/>
      <c r="F15" s="83"/>
      <c r="G15" s="83"/>
      <c r="H15" s="85"/>
      <c r="I15" s="85"/>
      <c r="J15" s="85"/>
      <c r="K15" s="83"/>
      <c r="L15" s="83"/>
      <c r="M15" s="83"/>
      <c r="N15" s="89"/>
      <c r="O15" s="89"/>
      <c r="P15" s="89"/>
      <c r="Q15" s="90"/>
      <c r="R15" s="91"/>
      <c r="S15" s="91"/>
      <c r="T15" s="91"/>
      <c r="U15" s="91"/>
      <c r="V15" s="91"/>
      <c r="W15" s="1"/>
      <c r="X15" s="1"/>
      <c r="Y15" s="1"/>
      <c r="Z15" s="1"/>
    </row>
    <row r="16" ht="15.75" customHeight="1">
      <c r="A16" s="52" t="str">
        <f t="shared" si="1"/>
        <v/>
      </c>
      <c r="B16" s="81"/>
      <c r="C16" s="81"/>
      <c r="D16" s="81"/>
      <c r="E16" s="83"/>
      <c r="F16" s="83"/>
      <c r="G16" s="83"/>
      <c r="H16" s="85"/>
      <c r="I16" s="85"/>
      <c r="J16" s="85"/>
      <c r="K16" s="83"/>
      <c r="L16" s="83"/>
      <c r="M16" s="83"/>
      <c r="N16" s="89"/>
      <c r="O16" s="89"/>
      <c r="P16" s="89"/>
      <c r="Q16" s="90"/>
      <c r="R16" s="91"/>
      <c r="S16" s="91"/>
      <c r="T16" s="91"/>
      <c r="U16" s="91"/>
      <c r="V16" s="91"/>
      <c r="W16" s="1"/>
      <c r="X16" s="1"/>
      <c r="Y16" s="1"/>
      <c r="Z16" s="1"/>
    </row>
    <row r="17" ht="15.75" customHeight="1">
      <c r="A17" s="52" t="str">
        <f t="shared" si="1"/>
        <v/>
      </c>
      <c r="B17" s="81"/>
      <c r="C17" s="81"/>
      <c r="D17" s="81"/>
      <c r="E17" s="83"/>
      <c r="F17" s="83"/>
      <c r="G17" s="83"/>
      <c r="H17" s="85"/>
      <c r="I17" s="85"/>
      <c r="J17" s="85"/>
      <c r="K17" s="83"/>
      <c r="L17" s="83"/>
      <c r="M17" s="83"/>
      <c r="N17" s="89"/>
      <c r="O17" s="89"/>
      <c r="P17" s="89"/>
      <c r="Q17" s="90"/>
      <c r="R17" s="91"/>
      <c r="S17" s="91"/>
      <c r="T17" s="91"/>
      <c r="U17" s="91"/>
      <c r="V17" s="91"/>
      <c r="W17" s="1"/>
      <c r="X17" s="1"/>
      <c r="Y17" s="1"/>
      <c r="Z17" s="1"/>
    </row>
    <row r="18" ht="15.75" customHeight="1">
      <c r="A18" s="52" t="str">
        <f t="shared" si="1"/>
        <v/>
      </c>
      <c r="B18" s="81"/>
      <c r="C18" s="81"/>
      <c r="D18" s="81"/>
      <c r="E18" s="83"/>
      <c r="F18" s="83"/>
      <c r="G18" s="83"/>
      <c r="H18" s="85"/>
      <c r="I18" s="85"/>
      <c r="J18" s="85"/>
      <c r="K18" s="83"/>
      <c r="L18" s="83"/>
      <c r="M18" s="83"/>
      <c r="N18" s="89"/>
      <c r="O18" s="89"/>
      <c r="P18" s="89"/>
      <c r="Q18" s="90"/>
      <c r="R18" s="91"/>
      <c r="S18" s="91"/>
      <c r="T18" s="91"/>
      <c r="U18" s="91"/>
      <c r="V18" s="91"/>
      <c r="W18" s="1"/>
      <c r="X18" s="1"/>
      <c r="Y18" s="1"/>
      <c r="Z18" s="1"/>
    </row>
    <row r="19" ht="15.75" customHeight="1">
      <c r="A19" s="52" t="str">
        <f t="shared" si="1"/>
        <v/>
      </c>
      <c r="B19" s="81"/>
      <c r="C19" s="81"/>
      <c r="D19" s="81"/>
      <c r="E19" s="83"/>
      <c r="F19" s="83"/>
      <c r="G19" s="83"/>
      <c r="H19" s="85"/>
      <c r="I19" s="85"/>
      <c r="J19" s="85"/>
      <c r="K19" s="83"/>
      <c r="L19" s="83"/>
      <c r="M19" s="83"/>
      <c r="N19" s="89"/>
      <c r="O19" s="89"/>
      <c r="P19" s="89"/>
      <c r="Q19" s="90"/>
      <c r="R19" s="91"/>
      <c r="S19" s="91"/>
      <c r="T19" s="91"/>
      <c r="U19" s="91"/>
      <c r="V19" s="91"/>
      <c r="W19" s="1"/>
      <c r="X19" s="1"/>
      <c r="Y19" s="1"/>
      <c r="Z19" s="1"/>
    </row>
    <row r="20" ht="15.75" customHeight="1">
      <c r="A20" s="102" t="str">
        <f t="shared" si="1"/>
        <v/>
      </c>
      <c r="B20" s="104"/>
      <c r="C20" s="104"/>
      <c r="D20" s="104"/>
      <c r="E20" s="105"/>
      <c r="F20" s="105"/>
      <c r="G20" s="105"/>
      <c r="H20" s="140"/>
      <c r="I20" s="140"/>
      <c r="J20" s="140"/>
      <c r="K20" s="105"/>
      <c r="L20" s="105"/>
      <c r="M20" s="105"/>
      <c r="N20" s="105"/>
      <c r="O20" s="105"/>
      <c r="P20" s="105"/>
      <c r="Q20" s="145"/>
      <c r="R20" s="104"/>
      <c r="S20" s="104"/>
      <c r="T20" s="104"/>
      <c r="U20" s="104"/>
      <c r="V20" s="106"/>
      <c r="W20" s="1"/>
      <c r="X20" s="1"/>
      <c r="Y20" s="1"/>
      <c r="Z20" s="1"/>
    </row>
    <row r="21" ht="15.75" customHeight="1">
      <c r="A21" s="102" t="str">
        <f t="shared" si="1"/>
        <v/>
      </c>
      <c r="B21" s="104"/>
      <c r="C21" s="104"/>
      <c r="D21" s="104"/>
      <c r="E21" s="105"/>
      <c r="F21" s="105"/>
      <c r="G21" s="105"/>
      <c r="H21" s="140"/>
      <c r="I21" s="140"/>
      <c r="J21" s="140"/>
      <c r="K21" s="105"/>
      <c r="L21" s="105"/>
      <c r="M21" s="105"/>
      <c r="N21" s="105"/>
      <c r="O21" s="105"/>
      <c r="P21" s="105"/>
      <c r="Q21" s="145"/>
      <c r="R21" s="104"/>
      <c r="S21" s="104"/>
      <c r="T21" s="104"/>
      <c r="U21" s="104"/>
      <c r="V21" s="106"/>
      <c r="W21" s="1"/>
      <c r="X21" s="1"/>
      <c r="Y21" s="1"/>
      <c r="Z21" s="1"/>
    </row>
    <row r="22" ht="15.75" customHeight="1">
      <c r="A22" s="102" t="str">
        <f t="shared" si="1"/>
        <v/>
      </c>
      <c r="B22" s="104"/>
      <c r="C22" s="104"/>
      <c r="D22" s="104"/>
      <c r="E22" s="105"/>
      <c r="F22" s="105"/>
      <c r="G22" s="105"/>
      <c r="H22" s="140"/>
      <c r="I22" s="140"/>
      <c r="J22" s="140"/>
      <c r="K22" s="105"/>
      <c r="L22" s="105"/>
      <c r="M22" s="105"/>
      <c r="N22" s="105"/>
      <c r="O22" s="105"/>
      <c r="P22" s="105"/>
      <c r="Q22" s="145"/>
      <c r="R22" s="104"/>
      <c r="S22" s="104"/>
      <c r="T22" s="104"/>
      <c r="U22" s="104"/>
      <c r="V22" s="106"/>
      <c r="W22" s="1"/>
      <c r="X22" s="1"/>
      <c r="Y22" s="1"/>
      <c r="Z22" s="1"/>
    </row>
    <row r="23" ht="15.75" customHeight="1">
      <c r="A23" s="102" t="str">
        <f t="shared" si="1"/>
        <v/>
      </c>
      <c r="B23" s="104"/>
      <c r="C23" s="104"/>
      <c r="D23" s="104"/>
      <c r="E23" s="105"/>
      <c r="F23" s="105"/>
      <c r="G23" s="105"/>
      <c r="H23" s="140"/>
      <c r="I23" s="140"/>
      <c r="J23" s="140"/>
      <c r="K23" s="105"/>
      <c r="L23" s="105"/>
      <c r="M23" s="105"/>
      <c r="N23" s="105"/>
      <c r="O23" s="105"/>
      <c r="P23" s="105"/>
      <c r="Q23" s="145"/>
      <c r="R23" s="104"/>
      <c r="S23" s="104"/>
      <c r="T23" s="104"/>
      <c r="U23" s="104"/>
      <c r="V23" s="106"/>
      <c r="W23" s="1"/>
      <c r="X23" s="1"/>
      <c r="Y23" s="1"/>
      <c r="Z23" s="1"/>
    </row>
    <row r="24" ht="15.75" customHeight="1">
      <c r="A24" s="102" t="str">
        <f t="shared" si="1"/>
        <v/>
      </c>
      <c r="B24" s="104"/>
      <c r="C24" s="104"/>
      <c r="D24" s="104"/>
      <c r="E24" s="105"/>
      <c r="F24" s="105"/>
      <c r="G24" s="105"/>
      <c r="H24" s="140"/>
      <c r="I24" s="140"/>
      <c r="J24" s="140"/>
      <c r="K24" s="105"/>
      <c r="L24" s="105"/>
      <c r="M24" s="105"/>
      <c r="N24" s="105"/>
      <c r="O24" s="105"/>
      <c r="P24" s="105"/>
      <c r="Q24" s="145"/>
      <c r="R24" s="104"/>
      <c r="S24" s="104"/>
      <c r="T24" s="104"/>
      <c r="U24" s="104"/>
      <c r="V24" s="106"/>
      <c r="W24" s="1"/>
      <c r="X24" s="1"/>
      <c r="Y24" s="1"/>
      <c r="Z24" s="1"/>
    </row>
    <row r="25" ht="15.75" customHeight="1">
      <c r="A25" s="102" t="str">
        <f t="shared" si="1"/>
        <v/>
      </c>
      <c r="B25" s="104"/>
      <c r="C25" s="104"/>
      <c r="D25" s="104"/>
      <c r="E25" s="105"/>
      <c r="F25" s="105"/>
      <c r="G25" s="105"/>
      <c r="H25" s="140"/>
      <c r="I25" s="140"/>
      <c r="J25" s="140"/>
      <c r="K25" s="105"/>
      <c r="L25" s="105"/>
      <c r="M25" s="105"/>
      <c r="N25" s="105"/>
      <c r="O25" s="105"/>
      <c r="P25" s="105"/>
      <c r="Q25" s="145"/>
      <c r="R25" s="104"/>
      <c r="S25" s="104"/>
      <c r="T25" s="104"/>
      <c r="U25" s="104"/>
      <c r="V25" s="106"/>
      <c r="W25" s="1"/>
      <c r="X25" s="1"/>
      <c r="Y25" s="1"/>
      <c r="Z25" s="1"/>
    </row>
    <row r="26" ht="15.75" customHeight="1">
      <c r="A26" s="102" t="str">
        <f t="shared" si="1"/>
        <v/>
      </c>
      <c r="B26" s="104"/>
      <c r="C26" s="104"/>
      <c r="D26" s="104"/>
      <c r="E26" s="105"/>
      <c r="F26" s="105"/>
      <c r="G26" s="105"/>
      <c r="H26" s="140"/>
      <c r="I26" s="140"/>
      <c r="J26" s="140"/>
      <c r="K26" s="105"/>
      <c r="L26" s="105"/>
      <c r="M26" s="105"/>
      <c r="N26" s="105"/>
      <c r="O26" s="105"/>
      <c r="P26" s="105"/>
      <c r="Q26" s="145"/>
      <c r="R26" s="104"/>
      <c r="S26" s="104"/>
      <c r="T26" s="104"/>
      <c r="U26" s="104"/>
      <c r="V26" s="106"/>
      <c r="W26" s="1"/>
      <c r="X26" s="1"/>
      <c r="Y26" s="1"/>
      <c r="Z26" s="1"/>
    </row>
    <row r="27" ht="15.75" customHeight="1">
      <c r="A27" s="102" t="str">
        <f t="shared" si="1"/>
        <v/>
      </c>
      <c r="B27" s="104"/>
      <c r="C27" s="104"/>
      <c r="D27" s="104"/>
      <c r="E27" s="105"/>
      <c r="F27" s="105"/>
      <c r="G27" s="105"/>
      <c r="H27" s="140"/>
      <c r="I27" s="140"/>
      <c r="J27" s="140"/>
      <c r="K27" s="105"/>
      <c r="L27" s="105"/>
      <c r="M27" s="105"/>
      <c r="N27" s="105"/>
      <c r="O27" s="105"/>
      <c r="P27" s="105"/>
      <c r="Q27" s="145"/>
      <c r="R27" s="104"/>
      <c r="S27" s="104"/>
      <c r="T27" s="104"/>
      <c r="U27" s="104"/>
      <c r="V27" s="106"/>
      <c r="W27" s="1"/>
      <c r="X27" s="1"/>
      <c r="Y27" s="1"/>
      <c r="Z27" s="1"/>
    </row>
    <row r="28" ht="15.75" customHeight="1">
      <c r="A28" s="102" t="str">
        <f t="shared" si="1"/>
        <v/>
      </c>
      <c r="B28" s="104"/>
      <c r="C28" s="104"/>
      <c r="D28" s="104"/>
      <c r="E28" s="105"/>
      <c r="F28" s="105"/>
      <c r="G28" s="105"/>
      <c r="H28" s="140"/>
      <c r="I28" s="140"/>
      <c r="J28" s="140"/>
      <c r="K28" s="105"/>
      <c r="L28" s="105"/>
      <c r="M28" s="105"/>
      <c r="N28" s="105"/>
      <c r="O28" s="105"/>
      <c r="P28" s="105"/>
      <c r="Q28" s="145"/>
      <c r="R28" s="104"/>
      <c r="S28" s="104"/>
      <c r="T28" s="104"/>
      <c r="U28" s="104"/>
      <c r="V28" s="106"/>
      <c r="W28" s="1"/>
      <c r="X28" s="1"/>
      <c r="Y28" s="1"/>
      <c r="Z28" s="1"/>
    </row>
    <row r="29" ht="15.75" customHeight="1">
      <c r="A29" s="102" t="str">
        <f t="shared" si="1"/>
        <v/>
      </c>
      <c r="B29" s="104"/>
      <c r="C29" s="104"/>
      <c r="D29" s="104"/>
      <c r="E29" s="105"/>
      <c r="F29" s="105"/>
      <c r="G29" s="105"/>
      <c r="H29" s="140"/>
      <c r="I29" s="140"/>
      <c r="J29" s="140"/>
      <c r="K29" s="105"/>
      <c r="L29" s="105"/>
      <c r="M29" s="105"/>
      <c r="N29" s="105"/>
      <c r="O29" s="105"/>
      <c r="P29" s="105"/>
      <c r="Q29" s="145"/>
      <c r="R29" s="104"/>
      <c r="S29" s="104"/>
      <c r="T29" s="104"/>
      <c r="U29" s="104"/>
      <c r="V29" s="106"/>
      <c r="W29" s="1"/>
      <c r="X29" s="1"/>
      <c r="Y29" s="1"/>
      <c r="Z29" s="1"/>
    </row>
    <row r="30" ht="15.75" customHeight="1">
      <c r="A30" s="102" t="str">
        <f t="shared" si="1"/>
        <v/>
      </c>
      <c r="B30" s="104"/>
      <c r="C30" s="104"/>
      <c r="D30" s="104"/>
      <c r="E30" s="105"/>
      <c r="F30" s="105"/>
      <c r="G30" s="105"/>
      <c r="H30" s="140"/>
      <c r="I30" s="140"/>
      <c r="J30" s="140"/>
      <c r="K30" s="105"/>
      <c r="L30" s="105"/>
      <c r="M30" s="105"/>
      <c r="N30" s="105"/>
      <c r="O30" s="105"/>
      <c r="P30" s="105"/>
      <c r="Q30" s="145"/>
      <c r="R30" s="104"/>
      <c r="S30" s="104"/>
      <c r="T30" s="104"/>
      <c r="U30" s="104"/>
      <c r="V30" s="106"/>
      <c r="W30" s="1"/>
      <c r="X30" s="1"/>
      <c r="Y30" s="1"/>
      <c r="Z30" s="1"/>
    </row>
    <row r="31" ht="15.75" customHeight="1">
      <c r="A31" s="102" t="str">
        <f t="shared" si="1"/>
        <v/>
      </c>
      <c r="B31" s="104"/>
      <c r="C31" s="104"/>
      <c r="D31" s="104"/>
      <c r="E31" s="105"/>
      <c r="F31" s="105"/>
      <c r="G31" s="105"/>
      <c r="H31" s="140"/>
      <c r="I31" s="140"/>
      <c r="J31" s="140"/>
      <c r="K31" s="105"/>
      <c r="L31" s="105"/>
      <c r="M31" s="105"/>
      <c r="N31" s="105"/>
      <c r="O31" s="105"/>
      <c r="P31" s="105"/>
      <c r="Q31" s="145"/>
      <c r="R31" s="104"/>
      <c r="S31" s="104"/>
      <c r="T31" s="104"/>
      <c r="U31" s="104"/>
      <c r="V31" s="106"/>
      <c r="W31" s="1"/>
      <c r="X31" s="1"/>
      <c r="Y31" s="1"/>
      <c r="Z31" s="1"/>
    </row>
    <row r="32" ht="15.75" customHeight="1">
      <c r="A32" s="102" t="str">
        <f t="shared" si="1"/>
        <v/>
      </c>
      <c r="B32" s="104"/>
      <c r="C32" s="104"/>
      <c r="D32" s="104"/>
      <c r="E32" s="105"/>
      <c r="F32" s="105"/>
      <c r="G32" s="105"/>
      <c r="H32" s="140"/>
      <c r="I32" s="140"/>
      <c r="J32" s="140"/>
      <c r="K32" s="105"/>
      <c r="L32" s="105"/>
      <c r="M32" s="105"/>
      <c r="N32" s="105"/>
      <c r="O32" s="105"/>
      <c r="P32" s="105"/>
      <c r="Q32" s="145"/>
      <c r="R32" s="104"/>
      <c r="S32" s="104"/>
      <c r="T32" s="104"/>
      <c r="U32" s="104"/>
      <c r="V32" s="106"/>
      <c r="W32" s="1"/>
      <c r="X32" s="1"/>
      <c r="Y32" s="1"/>
      <c r="Z32" s="1"/>
    </row>
    <row r="33" ht="15.75" customHeight="1">
      <c r="A33" s="102" t="str">
        <f t="shared" si="1"/>
        <v/>
      </c>
      <c r="B33" s="104"/>
      <c r="C33" s="104"/>
      <c r="D33" s="104"/>
      <c r="E33" s="105"/>
      <c r="F33" s="105"/>
      <c r="G33" s="105"/>
      <c r="H33" s="140"/>
      <c r="I33" s="140"/>
      <c r="J33" s="140"/>
      <c r="K33" s="105"/>
      <c r="L33" s="105"/>
      <c r="M33" s="105"/>
      <c r="N33" s="105"/>
      <c r="O33" s="105"/>
      <c r="P33" s="105"/>
      <c r="Q33" s="145"/>
      <c r="R33" s="104"/>
      <c r="S33" s="104"/>
      <c r="T33" s="104"/>
      <c r="U33" s="104"/>
      <c r="V33" s="106"/>
      <c r="W33" s="1"/>
      <c r="X33" s="1"/>
      <c r="Y33" s="1"/>
      <c r="Z33" s="1"/>
    </row>
    <row r="34" ht="15.75" customHeight="1">
      <c r="A34" s="119" t="str">
        <f t="shared" si="1"/>
        <v/>
      </c>
      <c r="B34" s="120"/>
      <c r="C34" s="120"/>
      <c r="D34" s="120"/>
      <c r="E34" s="121"/>
      <c r="F34" s="121"/>
      <c r="G34" s="121"/>
      <c r="H34" s="166"/>
      <c r="I34" s="166"/>
      <c r="J34" s="166"/>
      <c r="K34" s="121"/>
      <c r="L34" s="121"/>
      <c r="M34" s="121"/>
      <c r="N34" s="121"/>
      <c r="O34" s="121"/>
      <c r="P34" s="121"/>
      <c r="Q34" s="167"/>
      <c r="R34" s="120"/>
      <c r="S34" s="120"/>
      <c r="T34" s="120"/>
      <c r="U34" s="120"/>
      <c r="V34" s="122"/>
      <c r="W34" s="1"/>
      <c r="X34" s="1"/>
      <c r="Y34" s="1"/>
      <c r="Z34" s="1"/>
    </row>
    <row r="35" ht="15.75" customHeight="1">
      <c r="A35" s="1"/>
      <c r="B35" s="1"/>
      <c r="C35" s="168"/>
      <c r="H35" s="168"/>
      <c r="K35" s="1"/>
      <c r="N35" s="1"/>
      <c r="Q35" s="1"/>
      <c r="R35" s="168"/>
      <c r="S35" s="168"/>
      <c r="T35" s="168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68"/>
      <c r="H36" s="168"/>
      <c r="K36" s="1"/>
      <c r="N36" s="1"/>
      <c r="Q36" s="1"/>
      <c r="R36" s="168"/>
      <c r="S36" s="168"/>
      <c r="T36" s="168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68"/>
      <c r="H37" s="168"/>
      <c r="K37" s="1"/>
      <c r="N37" s="1"/>
      <c r="Q37" s="1"/>
      <c r="R37" s="168"/>
      <c r="S37" s="168"/>
      <c r="T37" s="168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68"/>
      <c r="H38" s="168"/>
      <c r="K38" s="1"/>
      <c r="N38" s="1"/>
      <c r="Q38" s="1"/>
      <c r="R38" s="168"/>
      <c r="S38" s="168"/>
      <c r="T38" s="168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68"/>
      <c r="H39" s="168"/>
      <c r="K39" s="1"/>
      <c r="N39" s="1"/>
      <c r="Q39" s="1"/>
      <c r="R39" s="168"/>
      <c r="S39" s="168"/>
      <c r="T39" s="168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68"/>
      <c r="H40" s="168"/>
      <c r="K40" s="1"/>
      <c r="N40" s="1"/>
      <c r="Q40" s="1"/>
      <c r="R40" s="168"/>
      <c r="S40" s="168"/>
      <c r="T40" s="168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68"/>
      <c r="H41" s="168"/>
      <c r="K41" s="1"/>
      <c r="N41" s="1"/>
      <c r="Q41" s="1"/>
      <c r="R41" s="168"/>
      <c r="S41" s="168"/>
      <c r="T41" s="168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68"/>
      <c r="H42" s="168"/>
      <c r="K42" s="1"/>
      <c r="N42" s="1"/>
      <c r="Q42" s="1"/>
      <c r="R42" s="168"/>
      <c r="S42" s="168"/>
      <c r="T42" s="168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68"/>
      <c r="H43" s="168"/>
      <c r="K43" s="1"/>
      <c r="N43" s="1"/>
      <c r="Q43" s="1"/>
      <c r="R43" s="168"/>
      <c r="S43" s="168"/>
      <c r="T43" s="168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68"/>
      <c r="H44" s="168"/>
      <c r="K44" s="1"/>
      <c r="N44" s="1"/>
      <c r="Q44" s="1"/>
      <c r="R44" s="168"/>
      <c r="S44" s="168"/>
      <c r="T44" s="168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68"/>
      <c r="H45" s="168"/>
      <c r="K45" s="1"/>
      <c r="N45" s="1"/>
      <c r="Q45" s="1"/>
      <c r="R45" s="168"/>
      <c r="S45" s="168"/>
      <c r="T45" s="168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68"/>
      <c r="H46" s="168"/>
      <c r="K46" s="1"/>
      <c r="N46" s="1"/>
      <c r="Q46" s="1"/>
      <c r="R46" s="168"/>
      <c r="S46" s="168"/>
      <c r="T46" s="168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68"/>
      <c r="H47" s="168"/>
      <c r="K47" s="1"/>
      <c r="N47" s="1"/>
      <c r="Q47" s="1"/>
      <c r="R47" s="168"/>
      <c r="S47" s="168"/>
      <c r="T47" s="168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68"/>
      <c r="H48" s="168"/>
      <c r="K48" s="1"/>
      <c r="N48" s="1"/>
      <c r="Q48" s="1"/>
      <c r="R48" s="168"/>
      <c r="S48" s="168"/>
      <c r="T48" s="168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68"/>
      <c r="H49" s="168"/>
      <c r="K49" s="1"/>
      <c r="N49" s="1"/>
      <c r="Q49" s="1"/>
      <c r="R49" s="168"/>
      <c r="S49" s="168"/>
      <c r="T49" s="168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68"/>
      <c r="H50" s="168"/>
      <c r="K50" s="1"/>
      <c r="N50" s="1"/>
      <c r="Q50" s="1"/>
      <c r="R50" s="168"/>
      <c r="S50" s="168"/>
      <c r="T50" s="168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68"/>
      <c r="H51" s="168"/>
      <c r="K51" s="1"/>
      <c r="N51" s="1"/>
      <c r="Q51" s="1"/>
      <c r="R51" s="168"/>
      <c r="S51" s="168"/>
      <c r="T51" s="168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68"/>
      <c r="H52" s="168"/>
      <c r="K52" s="1"/>
      <c r="N52" s="1"/>
      <c r="Q52" s="1"/>
      <c r="R52" s="168"/>
      <c r="S52" s="168"/>
      <c r="T52" s="168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68"/>
      <c r="H53" s="168"/>
      <c r="K53" s="1"/>
      <c r="N53" s="1"/>
      <c r="Q53" s="1"/>
      <c r="R53" s="168"/>
      <c r="S53" s="168"/>
      <c r="T53" s="168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68"/>
      <c r="H54" s="168"/>
      <c r="K54" s="1"/>
      <c r="N54" s="1"/>
      <c r="Q54" s="1"/>
      <c r="R54" s="168"/>
      <c r="S54" s="168"/>
      <c r="T54" s="168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68"/>
      <c r="H55" s="168"/>
      <c r="K55" s="1"/>
      <c r="N55" s="1"/>
      <c r="Q55" s="1"/>
      <c r="R55" s="168"/>
      <c r="S55" s="168"/>
      <c r="T55" s="168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68"/>
      <c r="H56" s="168"/>
      <c r="K56" s="1"/>
      <c r="N56" s="1"/>
      <c r="Q56" s="1"/>
      <c r="R56" s="168"/>
      <c r="S56" s="168"/>
      <c r="T56" s="168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68"/>
      <c r="H57" s="168"/>
      <c r="K57" s="1"/>
      <c r="N57" s="1"/>
      <c r="Q57" s="1"/>
      <c r="R57" s="168"/>
      <c r="S57" s="168"/>
      <c r="T57" s="16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68"/>
      <c r="H58" s="168"/>
      <c r="K58" s="1"/>
      <c r="N58" s="1"/>
      <c r="Q58" s="1"/>
      <c r="R58" s="168"/>
      <c r="S58" s="168"/>
      <c r="T58" s="168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68"/>
      <c r="H59" s="168"/>
      <c r="K59" s="1"/>
      <c r="N59" s="1"/>
      <c r="Q59" s="1"/>
      <c r="R59" s="168"/>
      <c r="S59" s="168"/>
      <c r="T59" s="168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68"/>
      <c r="H60" s="168"/>
      <c r="K60" s="1"/>
      <c r="N60" s="1"/>
      <c r="Q60" s="1"/>
      <c r="R60" s="168"/>
      <c r="S60" s="168"/>
      <c r="T60" s="168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68"/>
      <c r="H61" s="168"/>
      <c r="K61" s="1"/>
      <c r="N61" s="1"/>
      <c r="Q61" s="1"/>
      <c r="R61" s="168"/>
      <c r="S61" s="168"/>
      <c r="T61" s="168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68"/>
      <c r="H62" s="168"/>
      <c r="K62" s="1"/>
      <c r="N62" s="1"/>
      <c r="Q62" s="1"/>
      <c r="R62" s="168"/>
      <c r="S62" s="168"/>
      <c r="T62" s="168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68"/>
      <c r="H63" s="168"/>
      <c r="K63" s="1"/>
      <c r="N63" s="1"/>
      <c r="Q63" s="1"/>
      <c r="R63" s="168"/>
      <c r="S63" s="168"/>
      <c r="T63" s="168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68"/>
      <c r="H64" s="168"/>
      <c r="K64" s="1"/>
      <c r="N64" s="1"/>
      <c r="Q64" s="1"/>
      <c r="R64" s="168"/>
      <c r="S64" s="168"/>
      <c r="T64" s="168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68"/>
      <c r="H65" s="168"/>
      <c r="K65" s="1"/>
      <c r="N65" s="1"/>
      <c r="Q65" s="1"/>
      <c r="R65" s="168"/>
      <c r="S65" s="168"/>
      <c r="T65" s="168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68"/>
      <c r="H66" s="168"/>
      <c r="K66" s="1"/>
      <c r="N66" s="1"/>
      <c r="Q66" s="1"/>
      <c r="R66" s="168"/>
      <c r="S66" s="168"/>
      <c r="T66" s="168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68"/>
      <c r="H67" s="168"/>
      <c r="K67" s="1"/>
      <c r="N67" s="1"/>
      <c r="Q67" s="1"/>
      <c r="R67" s="168"/>
      <c r="S67" s="168"/>
      <c r="T67" s="168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68"/>
      <c r="H68" s="168"/>
      <c r="K68" s="1"/>
      <c r="N68" s="1"/>
      <c r="Q68" s="1"/>
      <c r="R68" s="168"/>
      <c r="S68" s="168"/>
      <c r="T68" s="168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68"/>
      <c r="H69" s="168"/>
      <c r="K69" s="1"/>
      <c r="N69" s="1"/>
      <c r="Q69" s="1"/>
      <c r="R69" s="168"/>
      <c r="S69" s="168"/>
      <c r="T69" s="168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68"/>
      <c r="H70" s="168"/>
      <c r="K70" s="1"/>
      <c r="N70" s="1"/>
      <c r="Q70" s="1"/>
      <c r="R70" s="168"/>
      <c r="S70" s="168"/>
      <c r="T70" s="168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68"/>
      <c r="H71" s="168"/>
      <c r="K71" s="1"/>
      <c r="N71" s="1"/>
      <c r="Q71" s="1"/>
      <c r="R71" s="168"/>
      <c r="S71" s="168"/>
      <c r="T71" s="168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68"/>
      <c r="H72" s="168"/>
      <c r="K72" s="1"/>
      <c r="N72" s="1"/>
      <c r="Q72" s="1"/>
      <c r="R72" s="168"/>
      <c r="S72" s="168"/>
      <c r="T72" s="168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68"/>
      <c r="H73" s="168"/>
      <c r="K73" s="1"/>
      <c r="N73" s="1"/>
      <c r="Q73" s="1"/>
      <c r="R73" s="168"/>
      <c r="S73" s="168"/>
      <c r="T73" s="168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68"/>
      <c r="H74" s="168"/>
      <c r="K74" s="1"/>
      <c r="N74" s="1"/>
      <c r="Q74" s="1"/>
      <c r="R74" s="168"/>
      <c r="S74" s="168"/>
      <c r="T74" s="168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68"/>
      <c r="H75" s="168"/>
      <c r="K75" s="1"/>
      <c r="N75" s="1"/>
      <c r="Q75" s="1"/>
      <c r="R75" s="168"/>
      <c r="S75" s="168"/>
      <c r="T75" s="168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68"/>
      <c r="H76" s="168"/>
      <c r="K76" s="1"/>
      <c r="N76" s="1"/>
      <c r="Q76" s="1"/>
      <c r="R76" s="168"/>
      <c r="S76" s="168"/>
      <c r="T76" s="168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68"/>
      <c r="H77" s="168"/>
      <c r="K77" s="1"/>
      <c r="N77" s="1"/>
      <c r="Q77" s="1"/>
      <c r="R77" s="168"/>
      <c r="S77" s="168"/>
      <c r="T77" s="168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68"/>
      <c r="H78" s="168"/>
      <c r="K78" s="1"/>
      <c r="N78" s="1"/>
      <c r="Q78" s="1"/>
      <c r="R78" s="168"/>
      <c r="S78" s="168"/>
      <c r="T78" s="168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68"/>
      <c r="H79" s="168"/>
      <c r="K79" s="1"/>
      <c r="N79" s="1"/>
      <c r="Q79" s="1"/>
      <c r="R79" s="168"/>
      <c r="S79" s="168"/>
      <c r="T79" s="168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68"/>
      <c r="H80" s="168"/>
      <c r="K80" s="1"/>
      <c r="N80" s="1"/>
      <c r="Q80" s="1"/>
      <c r="R80" s="168"/>
      <c r="S80" s="168"/>
      <c r="T80" s="168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68"/>
      <c r="H81" s="168"/>
      <c r="K81" s="1"/>
      <c r="N81" s="1"/>
      <c r="Q81" s="1"/>
      <c r="R81" s="168"/>
      <c r="S81" s="168"/>
      <c r="T81" s="168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68"/>
      <c r="H82" s="168"/>
      <c r="K82" s="1"/>
      <c r="N82" s="1"/>
      <c r="Q82" s="1"/>
      <c r="R82" s="168"/>
      <c r="S82" s="168"/>
      <c r="T82" s="168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68"/>
      <c r="H83" s="168"/>
      <c r="K83" s="1"/>
      <c r="N83" s="1"/>
      <c r="Q83" s="1"/>
      <c r="R83" s="168"/>
      <c r="S83" s="168"/>
      <c r="T83" s="168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68"/>
      <c r="H84" s="168"/>
      <c r="K84" s="1"/>
      <c r="N84" s="1"/>
      <c r="Q84" s="1"/>
      <c r="R84" s="168"/>
      <c r="S84" s="168"/>
      <c r="T84" s="168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68"/>
      <c r="H85" s="168"/>
      <c r="K85" s="1"/>
      <c r="N85" s="1"/>
      <c r="Q85" s="1"/>
      <c r="R85" s="168"/>
      <c r="S85" s="168"/>
      <c r="T85" s="168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68"/>
      <c r="H86" s="168"/>
      <c r="K86" s="1"/>
      <c r="N86" s="1"/>
      <c r="Q86" s="1"/>
      <c r="R86" s="168"/>
      <c r="S86" s="168"/>
      <c r="T86" s="168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68"/>
      <c r="H87" s="168"/>
      <c r="K87" s="1"/>
      <c r="N87" s="1"/>
      <c r="Q87" s="1"/>
      <c r="R87" s="168"/>
      <c r="S87" s="168"/>
      <c r="T87" s="168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68"/>
      <c r="H88" s="168"/>
      <c r="K88" s="1"/>
      <c r="N88" s="1"/>
      <c r="Q88" s="1"/>
      <c r="R88" s="168"/>
      <c r="S88" s="168"/>
      <c r="T88" s="168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68"/>
      <c r="H89" s="168"/>
      <c r="K89" s="1"/>
      <c r="N89" s="1"/>
      <c r="Q89" s="1"/>
      <c r="R89" s="168"/>
      <c r="S89" s="168"/>
      <c r="T89" s="168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68"/>
      <c r="H90" s="168"/>
      <c r="K90" s="1"/>
      <c r="N90" s="1"/>
      <c r="Q90" s="1"/>
      <c r="R90" s="168"/>
      <c r="S90" s="168"/>
      <c r="T90" s="168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68"/>
      <c r="H91" s="168"/>
      <c r="K91" s="1"/>
      <c r="N91" s="1"/>
      <c r="Q91" s="1"/>
      <c r="R91" s="168"/>
      <c r="S91" s="168"/>
      <c r="T91" s="168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68"/>
      <c r="H92" s="168"/>
      <c r="K92" s="1"/>
      <c r="N92" s="1"/>
      <c r="Q92" s="1"/>
      <c r="R92" s="168"/>
      <c r="S92" s="168"/>
      <c r="T92" s="168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68"/>
      <c r="H93" s="168"/>
      <c r="K93" s="1"/>
      <c r="N93" s="1"/>
      <c r="Q93" s="1"/>
      <c r="R93" s="168"/>
      <c r="S93" s="168"/>
      <c r="T93" s="168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68"/>
      <c r="H94" s="168"/>
      <c r="K94" s="1"/>
      <c r="N94" s="1"/>
      <c r="Q94" s="1"/>
      <c r="R94" s="168"/>
      <c r="S94" s="168"/>
      <c r="T94" s="168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68"/>
      <c r="H95" s="168"/>
      <c r="K95" s="1"/>
      <c r="N95" s="1"/>
      <c r="Q95" s="1"/>
      <c r="R95" s="168"/>
      <c r="S95" s="168"/>
      <c r="T95" s="168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68"/>
      <c r="H96" s="168"/>
      <c r="K96" s="1"/>
      <c r="N96" s="1"/>
      <c r="Q96" s="1"/>
      <c r="R96" s="168"/>
      <c r="S96" s="168"/>
      <c r="T96" s="168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68"/>
      <c r="H97" s="168"/>
      <c r="K97" s="1"/>
      <c r="N97" s="1"/>
      <c r="Q97" s="1"/>
      <c r="R97" s="168"/>
      <c r="S97" s="168"/>
      <c r="T97" s="168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68"/>
      <c r="H98" s="168"/>
      <c r="K98" s="1"/>
      <c r="N98" s="1"/>
      <c r="Q98" s="1"/>
      <c r="R98" s="168"/>
      <c r="S98" s="168"/>
      <c r="T98" s="168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68"/>
      <c r="H99" s="168"/>
      <c r="K99" s="1"/>
      <c r="N99" s="1"/>
      <c r="Q99" s="1"/>
      <c r="R99" s="168"/>
      <c r="S99" s="168"/>
      <c r="T99" s="168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68"/>
      <c r="H100" s="168"/>
      <c r="K100" s="1"/>
      <c r="N100" s="1"/>
      <c r="Q100" s="1"/>
      <c r="R100" s="168"/>
      <c r="S100" s="168"/>
      <c r="T100" s="168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68"/>
      <c r="H101" s="168"/>
      <c r="K101" s="1"/>
      <c r="N101" s="1"/>
      <c r="Q101" s="1"/>
      <c r="R101" s="168"/>
      <c r="S101" s="168"/>
      <c r="T101" s="168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68"/>
      <c r="H102" s="168"/>
      <c r="K102" s="1"/>
      <c r="N102" s="1"/>
      <c r="Q102" s="1"/>
      <c r="R102" s="168"/>
      <c r="S102" s="168"/>
      <c r="T102" s="168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68"/>
      <c r="H103" s="168"/>
      <c r="K103" s="1"/>
      <c r="N103" s="1"/>
      <c r="Q103" s="1"/>
      <c r="R103" s="168"/>
      <c r="S103" s="168"/>
      <c r="T103" s="168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68"/>
      <c r="H104" s="168"/>
      <c r="K104" s="1"/>
      <c r="N104" s="1"/>
      <c r="Q104" s="1"/>
      <c r="R104" s="168"/>
      <c r="S104" s="168"/>
      <c r="T104" s="168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68"/>
      <c r="H105" s="168"/>
      <c r="K105" s="1"/>
      <c r="N105" s="1"/>
      <c r="Q105" s="1"/>
      <c r="R105" s="168"/>
      <c r="S105" s="168"/>
      <c r="T105" s="168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68"/>
      <c r="H106" s="168"/>
      <c r="K106" s="1"/>
      <c r="N106" s="1"/>
      <c r="Q106" s="1"/>
      <c r="R106" s="168"/>
      <c r="S106" s="168"/>
      <c r="T106" s="168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68"/>
      <c r="H107" s="168"/>
      <c r="K107" s="1"/>
      <c r="N107" s="1"/>
      <c r="Q107" s="1"/>
      <c r="R107" s="168"/>
      <c r="S107" s="168"/>
      <c r="T107" s="168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68"/>
      <c r="H108" s="168"/>
      <c r="K108" s="1"/>
      <c r="N108" s="1"/>
      <c r="Q108" s="1"/>
      <c r="R108" s="168"/>
      <c r="S108" s="168"/>
      <c r="T108" s="168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68"/>
      <c r="H109" s="168"/>
      <c r="K109" s="1"/>
      <c r="N109" s="1"/>
      <c r="Q109" s="1"/>
      <c r="R109" s="168"/>
      <c r="S109" s="168"/>
      <c r="T109" s="168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68"/>
      <c r="H110" s="168"/>
      <c r="K110" s="1"/>
      <c r="N110" s="1"/>
      <c r="Q110" s="1"/>
      <c r="R110" s="168"/>
      <c r="S110" s="168"/>
      <c r="T110" s="168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68"/>
      <c r="H111" s="168"/>
      <c r="K111" s="1"/>
      <c r="N111" s="1"/>
      <c r="Q111" s="1"/>
      <c r="R111" s="168"/>
      <c r="S111" s="168"/>
      <c r="T111" s="168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68"/>
      <c r="H112" s="168"/>
      <c r="K112" s="1"/>
      <c r="N112" s="1"/>
      <c r="Q112" s="1"/>
      <c r="R112" s="168"/>
      <c r="S112" s="168"/>
      <c r="T112" s="168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68"/>
      <c r="H113" s="168"/>
      <c r="K113" s="1"/>
      <c r="N113" s="1"/>
      <c r="Q113" s="1"/>
      <c r="R113" s="168"/>
      <c r="S113" s="168"/>
      <c r="T113" s="168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68"/>
      <c r="H114" s="168"/>
      <c r="K114" s="1"/>
      <c r="N114" s="1"/>
      <c r="Q114" s="1"/>
      <c r="R114" s="168"/>
      <c r="S114" s="168"/>
      <c r="T114" s="168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68"/>
      <c r="H115" s="168"/>
      <c r="K115" s="1"/>
      <c r="N115" s="1"/>
      <c r="Q115" s="1"/>
      <c r="R115" s="168"/>
      <c r="S115" s="168"/>
      <c r="T115" s="168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68"/>
      <c r="H116" s="168"/>
      <c r="K116" s="1"/>
      <c r="N116" s="1"/>
      <c r="Q116" s="1"/>
      <c r="R116" s="168"/>
      <c r="S116" s="168"/>
      <c r="T116" s="168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68"/>
      <c r="H117" s="168"/>
      <c r="K117" s="1"/>
      <c r="N117" s="1"/>
      <c r="Q117" s="1"/>
      <c r="R117" s="168"/>
      <c r="S117" s="168"/>
      <c r="T117" s="168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68"/>
      <c r="H118" s="168"/>
      <c r="K118" s="1"/>
      <c r="N118" s="1"/>
      <c r="Q118" s="1"/>
      <c r="R118" s="168"/>
      <c r="S118" s="168"/>
      <c r="T118" s="168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68"/>
      <c r="H119" s="168"/>
      <c r="K119" s="1"/>
      <c r="N119" s="1"/>
      <c r="Q119" s="1"/>
      <c r="R119" s="168"/>
      <c r="S119" s="168"/>
      <c r="T119" s="168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68"/>
      <c r="H120" s="168"/>
      <c r="K120" s="1"/>
      <c r="N120" s="1"/>
      <c r="Q120" s="1"/>
      <c r="R120" s="168"/>
      <c r="S120" s="168"/>
      <c r="T120" s="168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68"/>
      <c r="H121" s="168"/>
      <c r="K121" s="1"/>
      <c r="N121" s="1"/>
      <c r="Q121" s="1"/>
      <c r="R121" s="168"/>
      <c r="S121" s="168"/>
      <c r="T121" s="168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68"/>
      <c r="H122" s="168"/>
      <c r="K122" s="1"/>
      <c r="N122" s="1"/>
      <c r="Q122" s="1"/>
      <c r="R122" s="168"/>
      <c r="S122" s="168"/>
      <c r="T122" s="168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68"/>
      <c r="H123" s="168"/>
      <c r="K123" s="1"/>
      <c r="N123" s="1"/>
      <c r="Q123" s="1"/>
      <c r="R123" s="168"/>
      <c r="S123" s="168"/>
      <c r="T123" s="168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68"/>
      <c r="H124" s="168"/>
      <c r="K124" s="1"/>
      <c r="N124" s="1"/>
      <c r="Q124" s="1"/>
      <c r="R124" s="168"/>
      <c r="S124" s="168"/>
      <c r="T124" s="168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68"/>
      <c r="H125" s="168"/>
      <c r="K125" s="1"/>
      <c r="N125" s="1"/>
      <c r="Q125" s="1"/>
      <c r="R125" s="168"/>
      <c r="S125" s="168"/>
      <c r="T125" s="168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68"/>
      <c r="H126" s="168"/>
      <c r="K126" s="1"/>
      <c r="N126" s="1"/>
      <c r="Q126" s="1"/>
      <c r="R126" s="168"/>
      <c r="S126" s="168"/>
      <c r="T126" s="168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68"/>
      <c r="H127" s="168"/>
      <c r="K127" s="1"/>
      <c r="N127" s="1"/>
      <c r="Q127" s="1"/>
      <c r="R127" s="168"/>
      <c r="S127" s="168"/>
      <c r="T127" s="168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68"/>
      <c r="H128" s="168"/>
      <c r="K128" s="1"/>
      <c r="N128" s="1"/>
      <c r="Q128" s="1"/>
      <c r="R128" s="168"/>
      <c r="S128" s="168"/>
      <c r="T128" s="168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68"/>
      <c r="H129" s="168"/>
      <c r="K129" s="1"/>
      <c r="N129" s="1"/>
      <c r="Q129" s="1"/>
      <c r="R129" s="168"/>
      <c r="S129" s="168"/>
      <c r="T129" s="168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68"/>
      <c r="H130" s="168"/>
      <c r="K130" s="1"/>
      <c r="N130" s="1"/>
      <c r="Q130" s="1"/>
      <c r="R130" s="168"/>
      <c r="S130" s="168"/>
      <c r="T130" s="168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68"/>
      <c r="H131" s="168"/>
      <c r="K131" s="1"/>
      <c r="N131" s="1"/>
      <c r="Q131" s="1"/>
      <c r="R131" s="168"/>
      <c r="S131" s="168"/>
      <c r="T131" s="168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68"/>
      <c r="H132" s="168"/>
      <c r="K132" s="1"/>
      <c r="N132" s="1"/>
      <c r="Q132" s="1"/>
      <c r="R132" s="168"/>
      <c r="S132" s="168"/>
      <c r="T132" s="168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68"/>
      <c r="H133" s="168"/>
      <c r="K133" s="1"/>
      <c r="N133" s="1"/>
      <c r="Q133" s="1"/>
      <c r="R133" s="168"/>
      <c r="S133" s="168"/>
      <c r="T133" s="168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68"/>
      <c r="H134" s="168"/>
      <c r="K134" s="1"/>
      <c r="N134" s="1"/>
      <c r="Q134" s="1"/>
      <c r="R134" s="168"/>
      <c r="S134" s="168"/>
      <c r="T134" s="168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68"/>
      <c r="H135" s="168"/>
      <c r="K135" s="1"/>
      <c r="N135" s="1"/>
      <c r="Q135" s="1"/>
      <c r="R135" s="168"/>
      <c r="S135" s="168"/>
      <c r="T135" s="168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68"/>
      <c r="H136" s="168"/>
      <c r="K136" s="1"/>
      <c r="N136" s="1"/>
      <c r="Q136" s="1"/>
      <c r="R136" s="168"/>
      <c r="S136" s="168"/>
      <c r="T136" s="168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68"/>
      <c r="H137" s="168"/>
      <c r="K137" s="1"/>
      <c r="N137" s="1"/>
      <c r="Q137" s="1"/>
      <c r="R137" s="168"/>
      <c r="S137" s="168"/>
      <c r="T137" s="168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68"/>
      <c r="H138" s="168"/>
      <c r="K138" s="1"/>
      <c r="N138" s="1"/>
      <c r="Q138" s="1"/>
      <c r="R138" s="168"/>
      <c r="S138" s="168"/>
      <c r="T138" s="168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68"/>
      <c r="H139" s="168"/>
      <c r="K139" s="1"/>
      <c r="N139" s="1"/>
      <c r="Q139" s="1"/>
      <c r="R139" s="168"/>
      <c r="S139" s="168"/>
      <c r="T139" s="168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68"/>
      <c r="H140" s="168"/>
      <c r="K140" s="1"/>
      <c r="N140" s="1"/>
      <c r="Q140" s="1"/>
      <c r="R140" s="168"/>
      <c r="S140" s="168"/>
      <c r="T140" s="168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68"/>
      <c r="H141" s="168"/>
      <c r="K141" s="1"/>
      <c r="N141" s="1"/>
      <c r="Q141" s="1"/>
      <c r="R141" s="168"/>
      <c r="S141" s="168"/>
      <c r="T141" s="168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68"/>
      <c r="H142" s="168"/>
      <c r="K142" s="1"/>
      <c r="N142" s="1"/>
      <c r="Q142" s="1"/>
      <c r="R142" s="168"/>
      <c r="S142" s="168"/>
      <c r="T142" s="168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68"/>
      <c r="H143" s="168"/>
      <c r="K143" s="1"/>
      <c r="N143" s="1"/>
      <c r="Q143" s="1"/>
      <c r="R143" s="168"/>
      <c r="S143" s="168"/>
      <c r="T143" s="168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68"/>
      <c r="H144" s="168"/>
      <c r="K144" s="1"/>
      <c r="N144" s="1"/>
      <c r="Q144" s="1"/>
      <c r="R144" s="168"/>
      <c r="S144" s="168"/>
      <c r="T144" s="168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68"/>
      <c r="H145" s="168"/>
      <c r="K145" s="1"/>
      <c r="N145" s="1"/>
      <c r="Q145" s="1"/>
      <c r="R145" s="168"/>
      <c r="S145" s="168"/>
      <c r="T145" s="168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68"/>
      <c r="H146" s="168"/>
      <c r="K146" s="1"/>
      <c r="N146" s="1"/>
      <c r="Q146" s="1"/>
      <c r="R146" s="168"/>
      <c r="S146" s="168"/>
      <c r="T146" s="168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68"/>
      <c r="H147" s="168"/>
      <c r="K147" s="1"/>
      <c r="N147" s="1"/>
      <c r="Q147" s="1"/>
      <c r="R147" s="168"/>
      <c r="S147" s="168"/>
      <c r="T147" s="168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68"/>
      <c r="H148" s="168"/>
      <c r="K148" s="1"/>
      <c r="N148" s="1"/>
      <c r="Q148" s="1"/>
      <c r="R148" s="168"/>
      <c r="S148" s="168"/>
      <c r="T148" s="168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68"/>
      <c r="H149" s="168"/>
      <c r="K149" s="1"/>
      <c r="N149" s="1"/>
      <c r="Q149" s="1"/>
      <c r="R149" s="168"/>
      <c r="S149" s="168"/>
      <c r="T149" s="168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68"/>
      <c r="H150" s="168"/>
      <c r="K150" s="1"/>
      <c r="N150" s="1"/>
      <c r="Q150" s="1"/>
      <c r="R150" s="168"/>
      <c r="S150" s="168"/>
      <c r="T150" s="168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68"/>
      <c r="H151" s="168"/>
      <c r="K151" s="1"/>
      <c r="N151" s="1"/>
      <c r="Q151" s="1"/>
      <c r="R151" s="168"/>
      <c r="S151" s="168"/>
      <c r="T151" s="168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68"/>
      <c r="H152" s="168"/>
      <c r="K152" s="1"/>
      <c r="N152" s="1"/>
      <c r="Q152" s="1"/>
      <c r="R152" s="168"/>
      <c r="S152" s="168"/>
      <c r="T152" s="168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68"/>
      <c r="H153" s="168"/>
      <c r="K153" s="1"/>
      <c r="N153" s="1"/>
      <c r="Q153" s="1"/>
      <c r="R153" s="168"/>
      <c r="S153" s="168"/>
      <c r="T153" s="168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68"/>
      <c r="H154" s="168"/>
      <c r="K154" s="1"/>
      <c r="N154" s="1"/>
      <c r="Q154" s="1"/>
      <c r="R154" s="168"/>
      <c r="S154" s="168"/>
      <c r="T154" s="168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68"/>
      <c r="H155" s="168"/>
      <c r="K155" s="1"/>
      <c r="N155" s="1"/>
      <c r="Q155" s="1"/>
      <c r="R155" s="168"/>
      <c r="S155" s="168"/>
      <c r="T155" s="168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68"/>
      <c r="H156" s="168"/>
      <c r="K156" s="1"/>
      <c r="N156" s="1"/>
      <c r="Q156" s="1"/>
      <c r="R156" s="168"/>
      <c r="S156" s="168"/>
      <c r="T156" s="168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68"/>
      <c r="H157" s="168"/>
      <c r="K157" s="1"/>
      <c r="N157" s="1"/>
      <c r="Q157" s="1"/>
      <c r="R157" s="168"/>
      <c r="S157" s="168"/>
      <c r="T157" s="168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68"/>
      <c r="H158" s="168"/>
      <c r="K158" s="1"/>
      <c r="N158" s="1"/>
      <c r="Q158" s="1"/>
      <c r="R158" s="168"/>
      <c r="S158" s="168"/>
      <c r="T158" s="168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68"/>
      <c r="H159" s="168"/>
      <c r="K159" s="1"/>
      <c r="N159" s="1"/>
      <c r="Q159" s="1"/>
      <c r="R159" s="168"/>
      <c r="S159" s="168"/>
      <c r="T159" s="168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68"/>
      <c r="H160" s="168"/>
      <c r="K160" s="1"/>
      <c r="N160" s="1"/>
      <c r="Q160" s="1"/>
      <c r="R160" s="168"/>
      <c r="S160" s="168"/>
      <c r="T160" s="168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68"/>
      <c r="H161" s="168"/>
      <c r="K161" s="1"/>
      <c r="N161" s="1"/>
      <c r="Q161" s="1"/>
      <c r="R161" s="168"/>
      <c r="S161" s="168"/>
      <c r="T161" s="168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68"/>
      <c r="H162" s="168"/>
      <c r="K162" s="1"/>
      <c r="N162" s="1"/>
      <c r="Q162" s="1"/>
      <c r="R162" s="168"/>
      <c r="S162" s="168"/>
      <c r="T162" s="168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68"/>
      <c r="H163" s="168"/>
      <c r="K163" s="1"/>
      <c r="N163" s="1"/>
      <c r="Q163" s="1"/>
      <c r="R163" s="168"/>
      <c r="S163" s="168"/>
      <c r="T163" s="168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68"/>
      <c r="H164" s="168"/>
      <c r="K164" s="1"/>
      <c r="N164" s="1"/>
      <c r="Q164" s="1"/>
      <c r="R164" s="168"/>
      <c r="S164" s="168"/>
      <c r="T164" s="168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68"/>
      <c r="H165" s="168"/>
      <c r="K165" s="1"/>
      <c r="N165" s="1"/>
      <c r="Q165" s="1"/>
      <c r="R165" s="168"/>
      <c r="S165" s="168"/>
      <c r="T165" s="168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68"/>
      <c r="H166" s="168"/>
      <c r="K166" s="1"/>
      <c r="N166" s="1"/>
      <c r="Q166" s="1"/>
      <c r="R166" s="168"/>
      <c r="S166" s="168"/>
      <c r="T166" s="168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68"/>
      <c r="H167" s="168"/>
      <c r="K167" s="1"/>
      <c r="N167" s="1"/>
      <c r="Q167" s="1"/>
      <c r="R167" s="168"/>
      <c r="S167" s="168"/>
      <c r="T167" s="168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68"/>
      <c r="H168" s="168"/>
      <c r="K168" s="1"/>
      <c r="N168" s="1"/>
      <c r="Q168" s="1"/>
      <c r="R168" s="168"/>
      <c r="S168" s="168"/>
      <c r="T168" s="168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68"/>
      <c r="H169" s="168"/>
      <c r="K169" s="1"/>
      <c r="N169" s="1"/>
      <c r="Q169" s="1"/>
      <c r="R169" s="168"/>
      <c r="S169" s="168"/>
      <c r="T169" s="168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68"/>
      <c r="H170" s="168"/>
      <c r="K170" s="1"/>
      <c r="N170" s="1"/>
      <c r="Q170" s="1"/>
      <c r="R170" s="168"/>
      <c r="S170" s="168"/>
      <c r="T170" s="168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68"/>
      <c r="H171" s="168"/>
      <c r="K171" s="1"/>
      <c r="N171" s="1"/>
      <c r="Q171" s="1"/>
      <c r="R171" s="168"/>
      <c r="S171" s="168"/>
      <c r="T171" s="168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68"/>
      <c r="H172" s="168"/>
      <c r="K172" s="1"/>
      <c r="N172" s="1"/>
      <c r="Q172" s="1"/>
      <c r="R172" s="168"/>
      <c r="S172" s="168"/>
      <c r="T172" s="168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68"/>
      <c r="H173" s="168"/>
      <c r="K173" s="1"/>
      <c r="N173" s="1"/>
      <c r="Q173" s="1"/>
      <c r="R173" s="168"/>
      <c r="S173" s="168"/>
      <c r="T173" s="168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68"/>
      <c r="H174" s="168"/>
      <c r="K174" s="1"/>
      <c r="N174" s="1"/>
      <c r="Q174" s="1"/>
      <c r="R174" s="168"/>
      <c r="S174" s="168"/>
      <c r="T174" s="168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68"/>
      <c r="H175" s="168"/>
      <c r="K175" s="1"/>
      <c r="N175" s="1"/>
      <c r="Q175" s="1"/>
      <c r="R175" s="168"/>
      <c r="S175" s="168"/>
      <c r="T175" s="168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68"/>
      <c r="H176" s="168"/>
      <c r="K176" s="1"/>
      <c r="N176" s="1"/>
      <c r="Q176" s="1"/>
      <c r="R176" s="168"/>
      <c r="S176" s="168"/>
      <c r="T176" s="168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68"/>
      <c r="H177" s="168"/>
      <c r="K177" s="1"/>
      <c r="N177" s="1"/>
      <c r="Q177" s="1"/>
      <c r="R177" s="168"/>
      <c r="S177" s="168"/>
      <c r="T177" s="168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68"/>
      <c r="H178" s="168"/>
      <c r="K178" s="1"/>
      <c r="N178" s="1"/>
      <c r="Q178" s="1"/>
      <c r="R178" s="168"/>
      <c r="S178" s="168"/>
      <c r="T178" s="168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68"/>
      <c r="H179" s="168"/>
      <c r="K179" s="1"/>
      <c r="N179" s="1"/>
      <c r="Q179" s="1"/>
      <c r="R179" s="168"/>
      <c r="S179" s="168"/>
      <c r="T179" s="168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68"/>
      <c r="H180" s="168"/>
      <c r="K180" s="1"/>
      <c r="N180" s="1"/>
      <c r="Q180" s="1"/>
      <c r="R180" s="168"/>
      <c r="S180" s="168"/>
      <c r="T180" s="168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68"/>
      <c r="H181" s="168"/>
      <c r="K181" s="1"/>
      <c r="N181" s="1"/>
      <c r="Q181" s="1"/>
      <c r="R181" s="168"/>
      <c r="S181" s="168"/>
      <c r="T181" s="168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68"/>
      <c r="H182" s="168"/>
      <c r="K182" s="1"/>
      <c r="N182" s="1"/>
      <c r="Q182" s="1"/>
      <c r="R182" s="168"/>
      <c r="S182" s="168"/>
      <c r="T182" s="168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68"/>
      <c r="H183" s="168"/>
      <c r="K183" s="1"/>
      <c r="N183" s="1"/>
      <c r="Q183" s="1"/>
      <c r="R183" s="168"/>
      <c r="S183" s="168"/>
      <c r="T183" s="168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68"/>
      <c r="H184" s="168"/>
      <c r="K184" s="1"/>
      <c r="N184" s="1"/>
      <c r="Q184" s="1"/>
      <c r="R184" s="168"/>
      <c r="S184" s="168"/>
      <c r="T184" s="168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68"/>
      <c r="H185" s="168"/>
      <c r="K185" s="1"/>
      <c r="N185" s="1"/>
      <c r="Q185" s="1"/>
      <c r="R185" s="168"/>
      <c r="S185" s="168"/>
      <c r="T185" s="168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68"/>
      <c r="H186" s="168"/>
      <c r="K186" s="1"/>
      <c r="N186" s="1"/>
      <c r="Q186" s="1"/>
      <c r="R186" s="168"/>
      <c r="S186" s="168"/>
      <c r="T186" s="168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68"/>
      <c r="H187" s="168"/>
      <c r="K187" s="1"/>
      <c r="N187" s="1"/>
      <c r="Q187" s="1"/>
      <c r="R187" s="168"/>
      <c r="S187" s="168"/>
      <c r="T187" s="168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68"/>
      <c r="H188" s="168"/>
      <c r="K188" s="1"/>
      <c r="N188" s="1"/>
      <c r="Q188" s="1"/>
      <c r="R188" s="168"/>
      <c r="S188" s="168"/>
      <c r="T188" s="168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68"/>
      <c r="H189" s="168"/>
      <c r="K189" s="1"/>
      <c r="N189" s="1"/>
      <c r="Q189" s="1"/>
      <c r="R189" s="168"/>
      <c r="S189" s="168"/>
      <c r="T189" s="168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68"/>
      <c r="H190" s="168"/>
      <c r="K190" s="1"/>
      <c r="N190" s="1"/>
      <c r="Q190" s="1"/>
      <c r="R190" s="168"/>
      <c r="S190" s="168"/>
      <c r="T190" s="168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68"/>
      <c r="H191" s="168"/>
      <c r="K191" s="1"/>
      <c r="N191" s="1"/>
      <c r="Q191" s="1"/>
      <c r="R191" s="168"/>
      <c r="S191" s="168"/>
      <c r="T191" s="168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68"/>
      <c r="H192" s="168"/>
      <c r="K192" s="1"/>
      <c r="N192" s="1"/>
      <c r="Q192" s="1"/>
      <c r="R192" s="168"/>
      <c r="S192" s="168"/>
      <c r="T192" s="168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68"/>
      <c r="H193" s="168"/>
      <c r="K193" s="1"/>
      <c r="N193" s="1"/>
      <c r="Q193" s="1"/>
      <c r="R193" s="168"/>
      <c r="S193" s="168"/>
      <c r="T193" s="168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68"/>
      <c r="H194" s="168"/>
      <c r="K194" s="1"/>
      <c r="N194" s="1"/>
      <c r="Q194" s="1"/>
      <c r="R194" s="168"/>
      <c r="S194" s="168"/>
      <c r="T194" s="168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68"/>
      <c r="H195" s="168"/>
      <c r="K195" s="1"/>
      <c r="N195" s="1"/>
      <c r="Q195" s="1"/>
      <c r="R195" s="168"/>
      <c r="S195" s="168"/>
      <c r="T195" s="168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68"/>
      <c r="H196" s="168"/>
      <c r="K196" s="1"/>
      <c r="N196" s="1"/>
      <c r="Q196" s="1"/>
      <c r="R196" s="168"/>
      <c r="S196" s="168"/>
      <c r="T196" s="168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68"/>
      <c r="H197" s="168"/>
      <c r="K197" s="1"/>
      <c r="N197" s="1"/>
      <c r="Q197" s="1"/>
      <c r="R197" s="168"/>
      <c r="S197" s="168"/>
      <c r="T197" s="168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68"/>
      <c r="H198" s="168"/>
      <c r="K198" s="1"/>
      <c r="N198" s="1"/>
      <c r="Q198" s="1"/>
      <c r="R198" s="168"/>
      <c r="S198" s="168"/>
      <c r="T198" s="168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68"/>
      <c r="H199" s="168"/>
      <c r="K199" s="1"/>
      <c r="N199" s="1"/>
      <c r="Q199" s="1"/>
      <c r="R199" s="168"/>
      <c r="S199" s="168"/>
      <c r="T199" s="168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68"/>
      <c r="H200" s="168"/>
      <c r="K200" s="1"/>
      <c r="N200" s="1"/>
      <c r="Q200" s="1"/>
      <c r="R200" s="168"/>
      <c r="S200" s="168"/>
      <c r="T200" s="168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68"/>
      <c r="H201" s="168"/>
      <c r="K201" s="1"/>
      <c r="N201" s="1"/>
      <c r="Q201" s="1"/>
      <c r="R201" s="168"/>
      <c r="S201" s="168"/>
      <c r="T201" s="168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68"/>
      <c r="H202" s="168"/>
      <c r="K202" s="1"/>
      <c r="N202" s="1"/>
      <c r="Q202" s="1"/>
      <c r="R202" s="168"/>
      <c r="S202" s="168"/>
      <c r="T202" s="168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68"/>
      <c r="H203" s="168"/>
      <c r="K203" s="1"/>
      <c r="N203" s="1"/>
      <c r="Q203" s="1"/>
      <c r="R203" s="168"/>
      <c r="S203" s="168"/>
      <c r="T203" s="168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68"/>
      <c r="H204" s="168"/>
      <c r="K204" s="1"/>
      <c r="N204" s="1"/>
      <c r="Q204" s="1"/>
      <c r="R204" s="168"/>
      <c r="S204" s="168"/>
      <c r="T204" s="168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68"/>
      <c r="H205" s="168"/>
      <c r="K205" s="1"/>
      <c r="N205" s="1"/>
      <c r="Q205" s="1"/>
      <c r="R205" s="168"/>
      <c r="S205" s="168"/>
      <c r="T205" s="168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68"/>
      <c r="H206" s="168"/>
      <c r="K206" s="1"/>
      <c r="N206" s="1"/>
      <c r="Q206" s="1"/>
      <c r="R206" s="168"/>
      <c r="S206" s="168"/>
      <c r="T206" s="168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68"/>
      <c r="H207" s="168"/>
      <c r="K207" s="1"/>
      <c r="N207" s="1"/>
      <c r="Q207" s="1"/>
      <c r="R207" s="168"/>
      <c r="S207" s="168"/>
      <c r="T207" s="168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68"/>
      <c r="H208" s="168"/>
      <c r="K208" s="1"/>
      <c r="N208" s="1"/>
      <c r="Q208" s="1"/>
      <c r="R208" s="168"/>
      <c r="S208" s="168"/>
      <c r="T208" s="168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68"/>
      <c r="H209" s="168"/>
      <c r="K209" s="1"/>
      <c r="N209" s="1"/>
      <c r="Q209" s="1"/>
      <c r="R209" s="168"/>
      <c r="S209" s="168"/>
      <c r="T209" s="168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68"/>
      <c r="H210" s="168"/>
      <c r="K210" s="1"/>
      <c r="N210" s="1"/>
      <c r="Q210" s="1"/>
      <c r="R210" s="168"/>
      <c r="S210" s="168"/>
      <c r="T210" s="168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68"/>
      <c r="H211" s="168"/>
      <c r="K211" s="1"/>
      <c r="N211" s="1"/>
      <c r="Q211" s="1"/>
      <c r="R211" s="168"/>
      <c r="S211" s="168"/>
      <c r="T211" s="168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68"/>
      <c r="H212" s="168"/>
      <c r="K212" s="1"/>
      <c r="N212" s="1"/>
      <c r="Q212" s="1"/>
      <c r="R212" s="168"/>
      <c r="S212" s="168"/>
      <c r="T212" s="168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68"/>
      <c r="H213" s="168"/>
      <c r="K213" s="1"/>
      <c r="N213" s="1"/>
      <c r="Q213" s="1"/>
      <c r="R213" s="168"/>
      <c r="S213" s="168"/>
      <c r="T213" s="168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68"/>
      <c r="H214" s="168"/>
      <c r="K214" s="1"/>
      <c r="N214" s="1"/>
      <c r="Q214" s="1"/>
      <c r="R214" s="168"/>
      <c r="S214" s="168"/>
      <c r="T214" s="168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68"/>
      <c r="H215" s="168"/>
      <c r="K215" s="1"/>
      <c r="N215" s="1"/>
      <c r="Q215" s="1"/>
      <c r="R215" s="168"/>
      <c r="S215" s="168"/>
      <c r="T215" s="168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68"/>
      <c r="H216" s="168"/>
      <c r="K216" s="1"/>
      <c r="N216" s="1"/>
      <c r="Q216" s="1"/>
      <c r="R216" s="168"/>
      <c r="S216" s="168"/>
      <c r="T216" s="168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68"/>
      <c r="H217" s="168"/>
      <c r="K217" s="1"/>
      <c r="N217" s="1"/>
      <c r="Q217" s="1"/>
      <c r="R217" s="168"/>
      <c r="S217" s="168"/>
      <c r="T217" s="168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68"/>
      <c r="H218" s="168"/>
      <c r="K218" s="1"/>
      <c r="N218" s="1"/>
      <c r="Q218" s="1"/>
      <c r="R218" s="168"/>
      <c r="S218" s="168"/>
      <c r="T218" s="168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68"/>
      <c r="H219" s="168"/>
      <c r="K219" s="1"/>
      <c r="N219" s="1"/>
      <c r="Q219" s="1"/>
      <c r="R219" s="168"/>
      <c r="S219" s="168"/>
      <c r="T219" s="168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68"/>
      <c r="H220" s="168"/>
      <c r="K220" s="1"/>
      <c r="N220" s="1"/>
      <c r="Q220" s="1"/>
      <c r="R220" s="168"/>
      <c r="S220" s="168"/>
      <c r="T220" s="168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68"/>
      <c r="H221" s="168"/>
      <c r="K221" s="1"/>
      <c r="N221" s="1"/>
      <c r="Q221" s="1"/>
      <c r="R221" s="168"/>
      <c r="S221" s="168"/>
      <c r="T221" s="168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68"/>
      <c r="H222" s="168"/>
      <c r="K222" s="1"/>
      <c r="N222" s="1"/>
      <c r="Q222" s="1"/>
      <c r="R222" s="168"/>
      <c r="S222" s="168"/>
      <c r="T222" s="168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68"/>
      <c r="H223" s="168"/>
      <c r="K223" s="1"/>
      <c r="N223" s="1"/>
      <c r="Q223" s="1"/>
      <c r="R223" s="168"/>
      <c r="S223" s="168"/>
      <c r="T223" s="168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68"/>
      <c r="H224" s="168"/>
      <c r="K224" s="1"/>
      <c r="N224" s="1"/>
      <c r="Q224" s="1"/>
      <c r="R224" s="168"/>
      <c r="S224" s="168"/>
      <c r="T224" s="168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68"/>
      <c r="H225" s="168"/>
      <c r="K225" s="1"/>
      <c r="N225" s="1"/>
      <c r="Q225" s="1"/>
      <c r="R225" s="168"/>
      <c r="S225" s="168"/>
      <c r="T225" s="168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68"/>
      <c r="H226" s="168"/>
      <c r="K226" s="1"/>
      <c r="N226" s="1"/>
      <c r="Q226" s="1"/>
      <c r="R226" s="168"/>
      <c r="S226" s="168"/>
      <c r="T226" s="168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68"/>
      <c r="H227" s="168"/>
      <c r="K227" s="1"/>
      <c r="N227" s="1"/>
      <c r="Q227" s="1"/>
      <c r="R227" s="168"/>
      <c r="S227" s="168"/>
      <c r="T227" s="168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68"/>
      <c r="H228" s="168"/>
      <c r="K228" s="1"/>
      <c r="N228" s="1"/>
      <c r="Q228" s="1"/>
      <c r="R228" s="168"/>
      <c r="S228" s="168"/>
      <c r="T228" s="168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68"/>
      <c r="H229" s="168"/>
      <c r="K229" s="1"/>
      <c r="N229" s="1"/>
      <c r="Q229" s="1"/>
      <c r="R229" s="168"/>
      <c r="S229" s="168"/>
      <c r="T229" s="168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68"/>
      <c r="H230" s="168"/>
      <c r="K230" s="1"/>
      <c r="N230" s="1"/>
      <c r="Q230" s="1"/>
      <c r="R230" s="168"/>
      <c r="S230" s="168"/>
      <c r="T230" s="168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68"/>
      <c r="H231" s="168"/>
      <c r="K231" s="1"/>
      <c r="N231" s="1"/>
      <c r="Q231" s="1"/>
      <c r="R231" s="168"/>
      <c r="S231" s="168"/>
      <c r="T231" s="168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68"/>
      <c r="H232" s="168"/>
      <c r="K232" s="1"/>
      <c r="N232" s="1"/>
      <c r="Q232" s="1"/>
      <c r="R232" s="168"/>
      <c r="S232" s="168"/>
      <c r="T232" s="168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68"/>
      <c r="H233" s="168"/>
      <c r="K233" s="1"/>
      <c r="N233" s="1"/>
      <c r="Q233" s="1"/>
      <c r="R233" s="168"/>
      <c r="S233" s="168"/>
      <c r="T233" s="168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68"/>
      <c r="H234" s="168"/>
      <c r="K234" s="1"/>
      <c r="N234" s="1"/>
      <c r="Q234" s="1"/>
      <c r="R234" s="168"/>
      <c r="S234" s="168"/>
      <c r="T234" s="168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68"/>
      <c r="H235" s="168"/>
      <c r="K235" s="1"/>
      <c r="N235" s="1"/>
      <c r="Q235" s="1"/>
      <c r="R235" s="168"/>
      <c r="S235" s="168"/>
      <c r="T235" s="168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68"/>
      <c r="H236" s="168"/>
      <c r="K236" s="1"/>
      <c r="N236" s="1"/>
      <c r="Q236" s="1"/>
      <c r="R236" s="168"/>
      <c r="S236" s="168"/>
      <c r="T236" s="168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68"/>
      <c r="H237" s="168"/>
      <c r="K237" s="1"/>
      <c r="N237" s="1"/>
      <c r="Q237" s="1"/>
      <c r="R237" s="168"/>
      <c r="S237" s="168"/>
      <c r="T237" s="168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68"/>
      <c r="H238" s="168"/>
      <c r="K238" s="1"/>
      <c r="N238" s="1"/>
      <c r="Q238" s="1"/>
      <c r="R238" s="168"/>
      <c r="S238" s="168"/>
      <c r="T238" s="168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68"/>
      <c r="H239" s="168"/>
      <c r="K239" s="1"/>
      <c r="N239" s="1"/>
      <c r="Q239" s="1"/>
      <c r="R239" s="168"/>
      <c r="S239" s="168"/>
      <c r="T239" s="168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68"/>
      <c r="H240" s="168"/>
      <c r="K240" s="1"/>
      <c r="N240" s="1"/>
      <c r="Q240" s="1"/>
      <c r="R240" s="168"/>
      <c r="S240" s="168"/>
      <c r="T240" s="168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68"/>
      <c r="H241" s="168"/>
      <c r="K241" s="1"/>
      <c r="N241" s="1"/>
      <c r="Q241" s="1"/>
      <c r="R241" s="168"/>
      <c r="S241" s="168"/>
      <c r="T241" s="168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68"/>
      <c r="H242" s="168"/>
      <c r="K242" s="1"/>
      <c r="N242" s="1"/>
      <c r="Q242" s="1"/>
      <c r="R242" s="168"/>
      <c r="S242" s="168"/>
      <c r="T242" s="168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68"/>
      <c r="H243" s="168"/>
      <c r="K243" s="1"/>
      <c r="N243" s="1"/>
      <c r="Q243" s="1"/>
      <c r="R243" s="168"/>
      <c r="S243" s="168"/>
      <c r="T243" s="168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68"/>
      <c r="H244" s="168"/>
      <c r="K244" s="1"/>
      <c r="N244" s="1"/>
      <c r="Q244" s="1"/>
      <c r="R244" s="168"/>
      <c r="S244" s="168"/>
      <c r="T244" s="168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68"/>
      <c r="H245" s="168"/>
      <c r="K245" s="1"/>
      <c r="N245" s="1"/>
      <c r="Q245" s="1"/>
      <c r="R245" s="168"/>
      <c r="S245" s="168"/>
      <c r="T245" s="168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68"/>
      <c r="H246" s="168"/>
      <c r="K246" s="1"/>
      <c r="N246" s="1"/>
      <c r="Q246" s="1"/>
      <c r="R246" s="168"/>
      <c r="S246" s="168"/>
      <c r="T246" s="168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68"/>
      <c r="H247" s="168"/>
      <c r="K247" s="1"/>
      <c r="N247" s="1"/>
      <c r="Q247" s="1"/>
      <c r="R247" s="168"/>
      <c r="S247" s="168"/>
      <c r="T247" s="168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68"/>
      <c r="H248" s="168"/>
      <c r="K248" s="1"/>
      <c r="N248" s="1"/>
      <c r="Q248" s="1"/>
      <c r="R248" s="168"/>
      <c r="S248" s="168"/>
      <c r="T248" s="168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68"/>
      <c r="H249" s="168"/>
      <c r="K249" s="1"/>
      <c r="N249" s="1"/>
      <c r="Q249" s="1"/>
      <c r="R249" s="168"/>
      <c r="S249" s="168"/>
      <c r="T249" s="168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68"/>
      <c r="H250" s="168"/>
      <c r="K250" s="1"/>
      <c r="N250" s="1"/>
      <c r="Q250" s="1"/>
      <c r="R250" s="168"/>
      <c r="S250" s="168"/>
      <c r="T250" s="168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68"/>
      <c r="H251" s="168"/>
      <c r="K251" s="1"/>
      <c r="N251" s="1"/>
      <c r="Q251" s="1"/>
      <c r="R251" s="168"/>
      <c r="S251" s="168"/>
      <c r="T251" s="168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68"/>
      <c r="H252" s="168"/>
      <c r="K252" s="1"/>
      <c r="N252" s="1"/>
      <c r="Q252" s="1"/>
      <c r="R252" s="168"/>
      <c r="S252" s="168"/>
      <c r="T252" s="168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68"/>
      <c r="H253" s="168"/>
      <c r="K253" s="1"/>
      <c r="N253" s="1"/>
      <c r="Q253" s="1"/>
      <c r="R253" s="168"/>
      <c r="S253" s="168"/>
      <c r="T253" s="168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68"/>
      <c r="H254" s="168"/>
      <c r="K254" s="1"/>
      <c r="N254" s="1"/>
      <c r="Q254" s="1"/>
      <c r="R254" s="168"/>
      <c r="S254" s="168"/>
      <c r="T254" s="168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68"/>
      <c r="H255" s="168"/>
      <c r="K255" s="1"/>
      <c r="N255" s="1"/>
      <c r="Q255" s="1"/>
      <c r="R255" s="168"/>
      <c r="S255" s="168"/>
      <c r="T255" s="168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68"/>
      <c r="H256" s="168"/>
      <c r="K256" s="1"/>
      <c r="N256" s="1"/>
      <c r="Q256" s="1"/>
      <c r="R256" s="168"/>
      <c r="S256" s="168"/>
      <c r="T256" s="168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68"/>
      <c r="H257" s="168"/>
      <c r="K257" s="1"/>
      <c r="N257" s="1"/>
      <c r="Q257" s="1"/>
      <c r="R257" s="168"/>
      <c r="S257" s="168"/>
      <c r="T257" s="168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68"/>
      <c r="H258" s="168"/>
      <c r="K258" s="1"/>
      <c r="N258" s="1"/>
      <c r="Q258" s="1"/>
      <c r="R258" s="168"/>
      <c r="S258" s="168"/>
      <c r="T258" s="168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68"/>
      <c r="H259" s="168"/>
      <c r="K259" s="1"/>
      <c r="N259" s="1"/>
      <c r="Q259" s="1"/>
      <c r="R259" s="168"/>
      <c r="S259" s="168"/>
      <c r="T259" s="168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68"/>
      <c r="H260" s="168"/>
      <c r="K260" s="1"/>
      <c r="N260" s="1"/>
      <c r="Q260" s="1"/>
      <c r="R260" s="168"/>
      <c r="S260" s="168"/>
      <c r="T260" s="168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68"/>
      <c r="H261" s="168"/>
      <c r="K261" s="1"/>
      <c r="N261" s="1"/>
      <c r="Q261" s="1"/>
      <c r="R261" s="168"/>
      <c r="S261" s="168"/>
      <c r="T261" s="168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68"/>
      <c r="H262" s="168"/>
      <c r="K262" s="1"/>
      <c r="N262" s="1"/>
      <c r="Q262" s="1"/>
      <c r="R262" s="168"/>
      <c r="S262" s="168"/>
      <c r="T262" s="168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68"/>
      <c r="H263" s="168"/>
      <c r="K263" s="1"/>
      <c r="N263" s="1"/>
      <c r="Q263" s="1"/>
      <c r="R263" s="168"/>
      <c r="S263" s="168"/>
      <c r="T263" s="168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68"/>
      <c r="H264" s="168"/>
      <c r="K264" s="1"/>
      <c r="N264" s="1"/>
      <c r="Q264" s="1"/>
      <c r="R264" s="168"/>
      <c r="S264" s="168"/>
      <c r="T264" s="168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68"/>
      <c r="H265" s="168"/>
      <c r="K265" s="1"/>
      <c r="N265" s="1"/>
      <c r="Q265" s="1"/>
      <c r="R265" s="168"/>
      <c r="S265" s="168"/>
      <c r="T265" s="168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68"/>
      <c r="H266" s="168"/>
      <c r="K266" s="1"/>
      <c r="N266" s="1"/>
      <c r="Q266" s="1"/>
      <c r="R266" s="168"/>
      <c r="S266" s="168"/>
      <c r="T266" s="168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68"/>
      <c r="H267" s="168"/>
      <c r="K267" s="1"/>
      <c r="N267" s="1"/>
      <c r="Q267" s="1"/>
      <c r="R267" s="168"/>
      <c r="S267" s="168"/>
      <c r="T267" s="168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68"/>
      <c r="H268" s="168"/>
      <c r="K268" s="1"/>
      <c r="N268" s="1"/>
      <c r="Q268" s="1"/>
      <c r="R268" s="168"/>
      <c r="S268" s="168"/>
      <c r="T268" s="168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68"/>
      <c r="H269" s="168"/>
      <c r="K269" s="1"/>
      <c r="N269" s="1"/>
      <c r="Q269" s="1"/>
      <c r="R269" s="168"/>
      <c r="S269" s="168"/>
      <c r="T269" s="168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68"/>
      <c r="H270" s="168"/>
      <c r="K270" s="1"/>
      <c r="N270" s="1"/>
      <c r="Q270" s="1"/>
      <c r="R270" s="168"/>
      <c r="S270" s="168"/>
      <c r="T270" s="168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68"/>
      <c r="H271" s="168"/>
      <c r="K271" s="1"/>
      <c r="N271" s="1"/>
      <c r="Q271" s="1"/>
      <c r="R271" s="168"/>
      <c r="S271" s="168"/>
      <c r="T271" s="168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68"/>
      <c r="H272" s="168"/>
      <c r="K272" s="1"/>
      <c r="N272" s="1"/>
      <c r="Q272" s="1"/>
      <c r="R272" s="168"/>
      <c r="S272" s="168"/>
      <c r="T272" s="168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68"/>
      <c r="H273" s="168"/>
      <c r="K273" s="1"/>
      <c r="N273" s="1"/>
      <c r="Q273" s="1"/>
      <c r="R273" s="168"/>
      <c r="S273" s="168"/>
      <c r="T273" s="168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68"/>
      <c r="H274" s="168"/>
      <c r="K274" s="1"/>
      <c r="N274" s="1"/>
      <c r="Q274" s="1"/>
      <c r="R274" s="168"/>
      <c r="S274" s="168"/>
      <c r="T274" s="168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68"/>
      <c r="H275" s="168"/>
      <c r="K275" s="1"/>
      <c r="N275" s="1"/>
      <c r="Q275" s="1"/>
      <c r="R275" s="168"/>
      <c r="S275" s="168"/>
      <c r="T275" s="168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68"/>
      <c r="H276" s="168"/>
      <c r="K276" s="1"/>
      <c r="N276" s="1"/>
      <c r="Q276" s="1"/>
      <c r="R276" s="168"/>
      <c r="S276" s="168"/>
      <c r="T276" s="168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68"/>
      <c r="H277" s="168"/>
      <c r="K277" s="1"/>
      <c r="N277" s="1"/>
      <c r="Q277" s="1"/>
      <c r="R277" s="168"/>
      <c r="S277" s="168"/>
      <c r="T277" s="168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68"/>
      <c r="H278" s="168"/>
      <c r="K278" s="1"/>
      <c r="N278" s="1"/>
      <c r="Q278" s="1"/>
      <c r="R278" s="168"/>
      <c r="S278" s="168"/>
      <c r="T278" s="168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68"/>
      <c r="H279" s="168"/>
      <c r="K279" s="1"/>
      <c r="N279" s="1"/>
      <c r="Q279" s="1"/>
      <c r="R279" s="168"/>
      <c r="S279" s="168"/>
      <c r="T279" s="168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68"/>
      <c r="H280" s="168"/>
      <c r="K280" s="1"/>
      <c r="N280" s="1"/>
      <c r="Q280" s="1"/>
      <c r="R280" s="168"/>
      <c r="S280" s="168"/>
      <c r="T280" s="168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68"/>
      <c r="H281" s="168"/>
      <c r="K281" s="1"/>
      <c r="N281" s="1"/>
      <c r="Q281" s="1"/>
      <c r="R281" s="168"/>
      <c r="S281" s="168"/>
      <c r="T281" s="168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68"/>
      <c r="H282" s="168"/>
      <c r="K282" s="1"/>
      <c r="N282" s="1"/>
      <c r="Q282" s="1"/>
      <c r="R282" s="168"/>
      <c r="S282" s="168"/>
      <c r="T282" s="168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68"/>
      <c r="H283" s="168"/>
      <c r="K283" s="1"/>
      <c r="N283" s="1"/>
      <c r="Q283" s="1"/>
      <c r="R283" s="168"/>
      <c r="S283" s="168"/>
      <c r="T283" s="168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68"/>
      <c r="H284" s="168"/>
      <c r="K284" s="1"/>
      <c r="N284" s="1"/>
      <c r="Q284" s="1"/>
      <c r="R284" s="168"/>
      <c r="S284" s="168"/>
      <c r="T284" s="168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68"/>
      <c r="H285" s="168"/>
      <c r="K285" s="1"/>
      <c r="N285" s="1"/>
      <c r="Q285" s="1"/>
      <c r="R285" s="168"/>
      <c r="S285" s="168"/>
      <c r="T285" s="168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68"/>
      <c r="H286" s="168"/>
      <c r="K286" s="1"/>
      <c r="N286" s="1"/>
      <c r="Q286" s="1"/>
      <c r="R286" s="168"/>
      <c r="S286" s="168"/>
      <c r="T286" s="168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68"/>
      <c r="H287" s="168"/>
      <c r="K287" s="1"/>
      <c r="N287" s="1"/>
      <c r="Q287" s="1"/>
      <c r="R287" s="168"/>
      <c r="S287" s="168"/>
      <c r="T287" s="168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68"/>
      <c r="H288" s="168"/>
      <c r="K288" s="1"/>
      <c r="N288" s="1"/>
      <c r="Q288" s="1"/>
      <c r="R288" s="168"/>
      <c r="S288" s="168"/>
      <c r="T288" s="168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68"/>
      <c r="H289" s="168"/>
      <c r="K289" s="1"/>
      <c r="N289" s="1"/>
      <c r="Q289" s="1"/>
      <c r="R289" s="168"/>
      <c r="S289" s="168"/>
      <c r="T289" s="168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68"/>
      <c r="H290" s="168"/>
      <c r="K290" s="1"/>
      <c r="N290" s="1"/>
      <c r="Q290" s="1"/>
      <c r="R290" s="168"/>
      <c r="S290" s="168"/>
      <c r="T290" s="168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68"/>
      <c r="H291" s="168"/>
      <c r="K291" s="1"/>
      <c r="N291" s="1"/>
      <c r="Q291" s="1"/>
      <c r="R291" s="168"/>
      <c r="S291" s="168"/>
      <c r="T291" s="168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68"/>
      <c r="H292" s="168"/>
      <c r="K292" s="1"/>
      <c r="N292" s="1"/>
      <c r="Q292" s="1"/>
      <c r="R292" s="168"/>
      <c r="S292" s="168"/>
      <c r="T292" s="168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68"/>
      <c r="H293" s="168"/>
      <c r="K293" s="1"/>
      <c r="N293" s="1"/>
      <c r="Q293" s="1"/>
      <c r="R293" s="168"/>
      <c r="S293" s="168"/>
      <c r="T293" s="168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68"/>
      <c r="H294" s="168"/>
      <c r="K294" s="1"/>
      <c r="N294" s="1"/>
      <c r="Q294" s="1"/>
      <c r="R294" s="168"/>
      <c r="S294" s="168"/>
      <c r="T294" s="168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68"/>
      <c r="H295" s="168"/>
      <c r="K295" s="1"/>
      <c r="N295" s="1"/>
      <c r="Q295" s="1"/>
      <c r="R295" s="168"/>
      <c r="S295" s="168"/>
      <c r="T295" s="168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68"/>
      <c r="H296" s="168"/>
      <c r="K296" s="1"/>
      <c r="N296" s="1"/>
      <c r="Q296" s="1"/>
      <c r="R296" s="168"/>
      <c r="S296" s="168"/>
      <c r="T296" s="168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68"/>
      <c r="H297" s="168"/>
      <c r="K297" s="1"/>
      <c r="N297" s="1"/>
      <c r="Q297" s="1"/>
      <c r="R297" s="168"/>
      <c r="S297" s="168"/>
      <c r="T297" s="168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68"/>
      <c r="H298" s="168"/>
      <c r="K298" s="1"/>
      <c r="N298" s="1"/>
      <c r="Q298" s="1"/>
      <c r="R298" s="168"/>
      <c r="S298" s="168"/>
      <c r="T298" s="168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68"/>
      <c r="H299" s="168"/>
      <c r="K299" s="1"/>
      <c r="N299" s="1"/>
      <c r="Q299" s="1"/>
      <c r="R299" s="168"/>
      <c r="S299" s="168"/>
      <c r="T299" s="168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68"/>
      <c r="H300" s="168"/>
      <c r="K300" s="1"/>
      <c r="N300" s="1"/>
      <c r="Q300" s="1"/>
      <c r="R300" s="168"/>
      <c r="S300" s="168"/>
      <c r="T300" s="168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68"/>
      <c r="H301" s="168"/>
      <c r="K301" s="1"/>
      <c r="N301" s="1"/>
      <c r="Q301" s="1"/>
      <c r="R301" s="168"/>
      <c r="S301" s="168"/>
      <c r="T301" s="168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68"/>
      <c r="H302" s="168"/>
      <c r="K302" s="1"/>
      <c r="N302" s="1"/>
      <c r="Q302" s="1"/>
      <c r="R302" s="168"/>
      <c r="S302" s="168"/>
      <c r="T302" s="168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68"/>
      <c r="H303" s="168"/>
      <c r="K303" s="1"/>
      <c r="N303" s="1"/>
      <c r="Q303" s="1"/>
      <c r="R303" s="168"/>
      <c r="S303" s="168"/>
      <c r="T303" s="168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68"/>
      <c r="H304" s="168"/>
      <c r="K304" s="1"/>
      <c r="N304" s="1"/>
      <c r="Q304" s="1"/>
      <c r="R304" s="168"/>
      <c r="S304" s="168"/>
      <c r="T304" s="168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68"/>
      <c r="H305" s="168"/>
      <c r="K305" s="1"/>
      <c r="N305" s="1"/>
      <c r="Q305" s="1"/>
      <c r="R305" s="168"/>
      <c r="S305" s="168"/>
      <c r="T305" s="168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68"/>
      <c r="H306" s="168"/>
      <c r="K306" s="1"/>
      <c r="N306" s="1"/>
      <c r="Q306" s="1"/>
      <c r="R306" s="168"/>
      <c r="S306" s="168"/>
      <c r="T306" s="168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68"/>
      <c r="H307" s="168"/>
      <c r="K307" s="1"/>
      <c r="N307" s="1"/>
      <c r="Q307" s="1"/>
      <c r="R307" s="168"/>
      <c r="S307" s="168"/>
      <c r="T307" s="168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68"/>
      <c r="H308" s="168"/>
      <c r="K308" s="1"/>
      <c r="N308" s="1"/>
      <c r="Q308" s="1"/>
      <c r="R308" s="168"/>
      <c r="S308" s="168"/>
      <c r="T308" s="168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68"/>
      <c r="H309" s="168"/>
      <c r="K309" s="1"/>
      <c r="N309" s="1"/>
      <c r="Q309" s="1"/>
      <c r="R309" s="168"/>
      <c r="S309" s="168"/>
      <c r="T309" s="168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68"/>
      <c r="H310" s="168"/>
      <c r="K310" s="1"/>
      <c r="N310" s="1"/>
      <c r="Q310" s="1"/>
      <c r="R310" s="168"/>
      <c r="S310" s="168"/>
      <c r="T310" s="168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68"/>
      <c r="H311" s="168"/>
      <c r="K311" s="1"/>
      <c r="N311" s="1"/>
      <c r="Q311" s="1"/>
      <c r="R311" s="168"/>
      <c r="S311" s="168"/>
      <c r="T311" s="168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68"/>
      <c r="H312" s="168"/>
      <c r="K312" s="1"/>
      <c r="N312" s="1"/>
      <c r="Q312" s="1"/>
      <c r="R312" s="168"/>
      <c r="S312" s="168"/>
      <c r="T312" s="168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68"/>
      <c r="H313" s="168"/>
      <c r="K313" s="1"/>
      <c r="N313" s="1"/>
      <c r="Q313" s="1"/>
      <c r="R313" s="168"/>
      <c r="S313" s="168"/>
      <c r="T313" s="168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68"/>
      <c r="H314" s="168"/>
      <c r="K314" s="1"/>
      <c r="N314" s="1"/>
      <c r="Q314" s="1"/>
      <c r="R314" s="168"/>
      <c r="S314" s="168"/>
      <c r="T314" s="168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68"/>
      <c r="H315" s="168"/>
      <c r="K315" s="1"/>
      <c r="N315" s="1"/>
      <c r="Q315" s="1"/>
      <c r="R315" s="168"/>
      <c r="S315" s="168"/>
      <c r="T315" s="168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68"/>
      <c r="H316" s="168"/>
      <c r="K316" s="1"/>
      <c r="N316" s="1"/>
      <c r="Q316" s="1"/>
      <c r="R316" s="168"/>
      <c r="S316" s="168"/>
      <c r="T316" s="168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68"/>
      <c r="H317" s="168"/>
      <c r="K317" s="1"/>
      <c r="N317" s="1"/>
      <c r="Q317" s="1"/>
      <c r="R317" s="168"/>
      <c r="S317" s="168"/>
      <c r="T317" s="168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68"/>
      <c r="H318" s="168"/>
      <c r="K318" s="1"/>
      <c r="N318" s="1"/>
      <c r="Q318" s="1"/>
      <c r="R318" s="168"/>
      <c r="S318" s="168"/>
      <c r="T318" s="168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68"/>
      <c r="H319" s="168"/>
      <c r="K319" s="1"/>
      <c r="N319" s="1"/>
      <c r="Q319" s="1"/>
      <c r="R319" s="168"/>
      <c r="S319" s="168"/>
      <c r="T319" s="168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68"/>
      <c r="H320" s="168"/>
      <c r="K320" s="1"/>
      <c r="N320" s="1"/>
      <c r="Q320" s="1"/>
      <c r="R320" s="168"/>
      <c r="S320" s="168"/>
      <c r="T320" s="168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68"/>
      <c r="H321" s="168"/>
      <c r="K321" s="1"/>
      <c r="N321" s="1"/>
      <c r="Q321" s="1"/>
      <c r="R321" s="168"/>
      <c r="S321" s="168"/>
      <c r="T321" s="168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68"/>
      <c r="H322" s="168"/>
      <c r="K322" s="1"/>
      <c r="N322" s="1"/>
      <c r="Q322" s="1"/>
      <c r="R322" s="168"/>
      <c r="S322" s="168"/>
      <c r="T322" s="168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68"/>
      <c r="H323" s="168"/>
      <c r="K323" s="1"/>
      <c r="N323" s="1"/>
      <c r="Q323" s="1"/>
      <c r="R323" s="168"/>
      <c r="S323" s="168"/>
      <c r="T323" s="168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68"/>
      <c r="H324" s="168"/>
      <c r="K324" s="1"/>
      <c r="N324" s="1"/>
      <c r="Q324" s="1"/>
      <c r="R324" s="168"/>
      <c r="S324" s="168"/>
      <c r="T324" s="168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68"/>
      <c r="H325" s="168"/>
      <c r="K325" s="1"/>
      <c r="N325" s="1"/>
      <c r="Q325" s="1"/>
      <c r="R325" s="168"/>
      <c r="S325" s="168"/>
      <c r="T325" s="168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68"/>
      <c r="H326" s="168"/>
      <c r="K326" s="1"/>
      <c r="N326" s="1"/>
      <c r="Q326" s="1"/>
      <c r="R326" s="168"/>
      <c r="S326" s="168"/>
      <c r="T326" s="168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68"/>
      <c r="H327" s="168"/>
      <c r="K327" s="1"/>
      <c r="N327" s="1"/>
      <c r="Q327" s="1"/>
      <c r="R327" s="168"/>
      <c r="S327" s="168"/>
      <c r="T327" s="168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68"/>
      <c r="H328" s="168"/>
      <c r="K328" s="1"/>
      <c r="N328" s="1"/>
      <c r="Q328" s="1"/>
      <c r="R328" s="168"/>
      <c r="S328" s="168"/>
      <c r="T328" s="168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68"/>
      <c r="H329" s="168"/>
      <c r="K329" s="1"/>
      <c r="N329" s="1"/>
      <c r="Q329" s="1"/>
      <c r="R329" s="168"/>
      <c r="S329" s="168"/>
      <c r="T329" s="168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68"/>
      <c r="H330" s="168"/>
      <c r="K330" s="1"/>
      <c r="N330" s="1"/>
      <c r="Q330" s="1"/>
      <c r="R330" s="168"/>
      <c r="S330" s="168"/>
      <c r="T330" s="168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68"/>
      <c r="H331" s="168"/>
      <c r="K331" s="1"/>
      <c r="N331" s="1"/>
      <c r="Q331" s="1"/>
      <c r="R331" s="168"/>
      <c r="S331" s="168"/>
      <c r="T331" s="168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68"/>
      <c r="H332" s="168"/>
      <c r="K332" s="1"/>
      <c r="N332" s="1"/>
      <c r="Q332" s="1"/>
      <c r="R332" s="168"/>
      <c r="S332" s="168"/>
      <c r="T332" s="168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68"/>
      <c r="H333" s="168"/>
      <c r="K333" s="1"/>
      <c r="N333" s="1"/>
      <c r="Q333" s="1"/>
      <c r="R333" s="168"/>
      <c r="S333" s="168"/>
      <c r="T333" s="168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68"/>
      <c r="H334" s="168"/>
      <c r="K334" s="1"/>
      <c r="N334" s="1"/>
      <c r="Q334" s="1"/>
      <c r="R334" s="168"/>
      <c r="S334" s="168"/>
      <c r="T334" s="168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68"/>
      <c r="H335" s="168"/>
      <c r="K335" s="1"/>
      <c r="N335" s="1"/>
      <c r="Q335" s="1"/>
      <c r="R335" s="168"/>
      <c r="S335" s="168"/>
      <c r="T335" s="168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68"/>
      <c r="H336" s="168"/>
      <c r="K336" s="1"/>
      <c r="N336" s="1"/>
      <c r="Q336" s="1"/>
      <c r="R336" s="168"/>
      <c r="S336" s="168"/>
      <c r="T336" s="168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68"/>
      <c r="H337" s="168"/>
      <c r="K337" s="1"/>
      <c r="N337" s="1"/>
      <c r="Q337" s="1"/>
      <c r="R337" s="168"/>
      <c r="S337" s="168"/>
      <c r="T337" s="168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68"/>
      <c r="H338" s="168"/>
      <c r="K338" s="1"/>
      <c r="N338" s="1"/>
      <c r="Q338" s="1"/>
      <c r="R338" s="168"/>
      <c r="S338" s="168"/>
      <c r="T338" s="168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68"/>
      <c r="H339" s="168"/>
      <c r="K339" s="1"/>
      <c r="N339" s="1"/>
      <c r="Q339" s="1"/>
      <c r="R339" s="168"/>
      <c r="S339" s="168"/>
      <c r="T339" s="168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68"/>
      <c r="H340" s="168"/>
      <c r="K340" s="1"/>
      <c r="N340" s="1"/>
      <c r="Q340" s="1"/>
      <c r="R340" s="168"/>
      <c r="S340" s="168"/>
      <c r="T340" s="168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68"/>
      <c r="H341" s="168"/>
      <c r="K341" s="1"/>
      <c r="N341" s="1"/>
      <c r="Q341" s="1"/>
      <c r="R341" s="168"/>
      <c r="S341" s="168"/>
      <c r="T341" s="168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68"/>
      <c r="H342" s="168"/>
      <c r="K342" s="1"/>
      <c r="N342" s="1"/>
      <c r="Q342" s="1"/>
      <c r="R342" s="168"/>
      <c r="S342" s="168"/>
      <c r="T342" s="168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68"/>
      <c r="H343" s="168"/>
      <c r="K343" s="1"/>
      <c r="N343" s="1"/>
      <c r="Q343" s="1"/>
      <c r="R343" s="168"/>
      <c r="S343" s="168"/>
      <c r="T343" s="168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68"/>
      <c r="H344" s="168"/>
      <c r="K344" s="1"/>
      <c r="N344" s="1"/>
      <c r="Q344" s="1"/>
      <c r="R344" s="168"/>
      <c r="S344" s="168"/>
      <c r="T344" s="168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68"/>
      <c r="H345" s="168"/>
      <c r="K345" s="1"/>
      <c r="N345" s="1"/>
      <c r="Q345" s="1"/>
      <c r="R345" s="168"/>
      <c r="S345" s="168"/>
      <c r="T345" s="168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68"/>
      <c r="H346" s="168"/>
      <c r="K346" s="1"/>
      <c r="N346" s="1"/>
      <c r="Q346" s="1"/>
      <c r="R346" s="168"/>
      <c r="S346" s="168"/>
      <c r="T346" s="168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68"/>
      <c r="H347" s="168"/>
      <c r="K347" s="1"/>
      <c r="N347" s="1"/>
      <c r="Q347" s="1"/>
      <c r="R347" s="168"/>
      <c r="S347" s="168"/>
      <c r="T347" s="168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68"/>
      <c r="H348" s="168"/>
      <c r="K348" s="1"/>
      <c r="N348" s="1"/>
      <c r="Q348" s="1"/>
      <c r="R348" s="168"/>
      <c r="S348" s="168"/>
      <c r="T348" s="168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68"/>
      <c r="H349" s="168"/>
      <c r="K349" s="1"/>
      <c r="N349" s="1"/>
      <c r="Q349" s="1"/>
      <c r="R349" s="168"/>
      <c r="S349" s="168"/>
      <c r="T349" s="168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68"/>
      <c r="H350" s="168"/>
      <c r="K350" s="1"/>
      <c r="N350" s="1"/>
      <c r="Q350" s="1"/>
      <c r="R350" s="168"/>
      <c r="S350" s="168"/>
      <c r="T350" s="168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68"/>
      <c r="H351" s="168"/>
      <c r="K351" s="1"/>
      <c r="N351" s="1"/>
      <c r="Q351" s="1"/>
      <c r="R351" s="168"/>
      <c r="S351" s="168"/>
      <c r="T351" s="168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68"/>
      <c r="H352" s="168"/>
      <c r="K352" s="1"/>
      <c r="N352" s="1"/>
      <c r="Q352" s="1"/>
      <c r="R352" s="168"/>
      <c r="S352" s="168"/>
      <c r="T352" s="168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68"/>
      <c r="H353" s="168"/>
      <c r="K353" s="1"/>
      <c r="N353" s="1"/>
      <c r="Q353" s="1"/>
      <c r="R353" s="168"/>
      <c r="S353" s="168"/>
      <c r="T353" s="168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68"/>
      <c r="H354" s="168"/>
      <c r="K354" s="1"/>
      <c r="N354" s="1"/>
      <c r="Q354" s="1"/>
      <c r="R354" s="168"/>
      <c r="S354" s="168"/>
      <c r="T354" s="168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68"/>
      <c r="H355" s="168"/>
      <c r="K355" s="1"/>
      <c r="N355" s="1"/>
      <c r="Q355" s="1"/>
      <c r="R355" s="168"/>
      <c r="S355" s="168"/>
      <c r="T355" s="168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68"/>
      <c r="H356" s="168"/>
      <c r="K356" s="1"/>
      <c r="N356" s="1"/>
      <c r="Q356" s="1"/>
      <c r="R356" s="168"/>
      <c r="S356" s="168"/>
      <c r="T356" s="168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68"/>
      <c r="H357" s="168"/>
      <c r="K357" s="1"/>
      <c r="N357" s="1"/>
      <c r="Q357" s="1"/>
      <c r="R357" s="168"/>
      <c r="S357" s="168"/>
      <c r="T357" s="168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68"/>
      <c r="H358" s="168"/>
      <c r="K358" s="1"/>
      <c r="N358" s="1"/>
      <c r="Q358" s="1"/>
      <c r="R358" s="168"/>
      <c r="S358" s="168"/>
      <c r="T358" s="168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68"/>
      <c r="H359" s="168"/>
      <c r="K359" s="1"/>
      <c r="N359" s="1"/>
      <c r="Q359" s="1"/>
      <c r="R359" s="168"/>
      <c r="S359" s="168"/>
      <c r="T359" s="168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68"/>
      <c r="H360" s="168"/>
      <c r="K360" s="1"/>
      <c r="N360" s="1"/>
      <c r="Q360" s="1"/>
      <c r="R360" s="168"/>
      <c r="S360" s="168"/>
      <c r="T360" s="168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68"/>
      <c r="H361" s="168"/>
      <c r="K361" s="1"/>
      <c r="N361" s="1"/>
      <c r="Q361" s="1"/>
      <c r="R361" s="168"/>
      <c r="S361" s="168"/>
      <c r="T361" s="168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68"/>
      <c r="H362" s="168"/>
      <c r="K362" s="1"/>
      <c r="N362" s="1"/>
      <c r="Q362" s="1"/>
      <c r="R362" s="168"/>
      <c r="S362" s="168"/>
      <c r="T362" s="168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68"/>
      <c r="H363" s="168"/>
      <c r="K363" s="1"/>
      <c r="N363" s="1"/>
      <c r="Q363" s="1"/>
      <c r="R363" s="168"/>
      <c r="S363" s="168"/>
      <c r="T363" s="168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68"/>
      <c r="H364" s="168"/>
      <c r="K364" s="1"/>
      <c r="N364" s="1"/>
      <c r="Q364" s="1"/>
      <c r="R364" s="168"/>
      <c r="S364" s="168"/>
      <c r="T364" s="168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68"/>
      <c r="H365" s="168"/>
      <c r="K365" s="1"/>
      <c r="N365" s="1"/>
      <c r="Q365" s="1"/>
      <c r="R365" s="168"/>
      <c r="S365" s="168"/>
      <c r="T365" s="168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68"/>
      <c r="H366" s="168"/>
      <c r="K366" s="1"/>
      <c r="N366" s="1"/>
      <c r="Q366" s="1"/>
      <c r="R366" s="168"/>
      <c r="S366" s="168"/>
      <c r="T366" s="168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68"/>
      <c r="H367" s="168"/>
      <c r="K367" s="1"/>
      <c r="N367" s="1"/>
      <c r="Q367" s="1"/>
      <c r="R367" s="168"/>
      <c r="S367" s="168"/>
      <c r="T367" s="168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68"/>
      <c r="H368" s="168"/>
      <c r="K368" s="1"/>
      <c r="N368" s="1"/>
      <c r="Q368" s="1"/>
      <c r="R368" s="168"/>
      <c r="S368" s="168"/>
      <c r="T368" s="168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68"/>
      <c r="H369" s="168"/>
      <c r="K369" s="1"/>
      <c r="N369" s="1"/>
      <c r="Q369" s="1"/>
      <c r="R369" s="168"/>
      <c r="S369" s="168"/>
      <c r="T369" s="168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68"/>
      <c r="H370" s="168"/>
      <c r="K370" s="1"/>
      <c r="N370" s="1"/>
      <c r="Q370" s="1"/>
      <c r="R370" s="168"/>
      <c r="S370" s="168"/>
      <c r="T370" s="168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68"/>
      <c r="H371" s="168"/>
      <c r="K371" s="1"/>
      <c r="N371" s="1"/>
      <c r="Q371" s="1"/>
      <c r="R371" s="168"/>
      <c r="S371" s="168"/>
      <c r="T371" s="168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68"/>
      <c r="H372" s="168"/>
      <c r="K372" s="1"/>
      <c r="N372" s="1"/>
      <c r="Q372" s="1"/>
      <c r="R372" s="168"/>
      <c r="S372" s="168"/>
      <c r="T372" s="168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68"/>
      <c r="H373" s="168"/>
      <c r="K373" s="1"/>
      <c r="N373" s="1"/>
      <c r="Q373" s="1"/>
      <c r="R373" s="168"/>
      <c r="S373" s="168"/>
      <c r="T373" s="168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68"/>
      <c r="H374" s="168"/>
      <c r="K374" s="1"/>
      <c r="N374" s="1"/>
      <c r="Q374" s="1"/>
      <c r="R374" s="168"/>
      <c r="S374" s="168"/>
      <c r="T374" s="168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68"/>
      <c r="H375" s="168"/>
      <c r="K375" s="1"/>
      <c r="N375" s="1"/>
      <c r="Q375" s="1"/>
      <c r="R375" s="168"/>
      <c r="S375" s="168"/>
      <c r="T375" s="168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68"/>
      <c r="H376" s="168"/>
      <c r="K376" s="1"/>
      <c r="N376" s="1"/>
      <c r="Q376" s="1"/>
      <c r="R376" s="168"/>
      <c r="S376" s="168"/>
      <c r="T376" s="168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68"/>
      <c r="H377" s="168"/>
      <c r="K377" s="1"/>
      <c r="N377" s="1"/>
      <c r="Q377" s="1"/>
      <c r="R377" s="168"/>
      <c r="S377" s="168"/>
      <c r="T377" s="168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68"/>
      <c r="H378" s="168"/>
      <c r="K378" s="1"/>
      <c r="N378" s="1"/>
      <c r="Q378" s="1"/>
      <c r="R378" s="168"/>
      <c r="S378" s="168"/>
      <c r="T378" s="168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68"/>
      <c r="H379" s="168"/>
      <c r="K379" s="1"/>
      <c r="N379" s="1"/>
      <c r="Q379" s="1"/>
      <c r="R379" s="168"/>
      <c r="S379" s="168"/>
      <c r="T379" s="168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68"/>
      <c r="H380" s="168"/>
      <c r="K380" s="1"/>
      <c r="N380" s="1"/>
      <c r="Q380" s="1"/>
      <c r="R380" s="168"/>
      <c r="S380" s="168"/>
      <c r="T380" s="168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68"/>
      <c r="H381" s="168"/>
      <c r="K381" s="1"/>
      <c r="N381" s="1"/>
      <c r="Q381" s="1"/>
      <c r="R381" s="168"/>
      <c r="S381" s="168"/>
      <c r="T381" s="168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68"/>
      <c r="H382" s="168"/>
      <c r="K382" s="1"/>
      <c r="N382" s="1"/>
      <c r="Q382" s="1"/>
      <c r="R382" s="168"/>
      <c r="S382" s="168"/>
      <c r="T382" s="168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68"/>
      <c r="H383" s="168"/>
      <c r="K383" s="1"/>
      <c r="N383" s="1"/>
      <c r="Q383" s="1"/>
      <c r="R383" s="168"/>
      <c r="S383" s="168"/>
      <c r="T383" s="168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68"/>
      <c r="H384" s="168"/>
      <c r="K384" s="1"/>
      <c r="N384" s="1"/>
      <c r="Q384" s="1"/>
      <c r="R384" s="168"/>
      <c r="S384" s="168"/>
      <c r="T384" s="168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68"/>
      <c r="H385" s="168"/>
      <c r="K385" s="1"/>
      <c r="N385" s="1"/>
      <c r="Q385" s="1"/>
      <c r="R385" s="168"/>
      <c r="S385" s="168"/>
      <c r="T385" s="168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68"/>
      <c r="H386" s="168"/>
      <c r="K386" s="1"/>
      <c r="N386" s="1"/>
      <c r="Q386" s="1"/>
      <c r="R386" s="168"/>
      <c r="S386" s="168"/>
      <c r="T386" s="168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68"/>
      <c r="H387" s="168"/>
      <c r="K387" s="1"/>
      <c r="N387" s="1"/>
      <c r="Q387" s="1"/>
      <c r="R387" s="168"/>
      <c r="S387" s="168"/>
      <c r="T387" s="168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68"/>
      <c r="H388" s="168"/>
      <c r="K388" s="1"/>
      <c r="N388" s="1"/>
      <c r="Q388" s="1"/>
      <c r="R388" s="168"/>
      <c r="S388" s="168"/>
      <c r="T388" s="168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68"/>
      <c r="H389" s="168"/>
      <c r="K389" s="1"/>
      <c r="N389" s="1"/>
      <c r="Q389" s="1"/>
      <c r="R389" s="168"/>
      <c r="S389" s="168"/>
      <c r="T389" s="168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68"/>
      <c r="H390" s="168"/>
      <c r="K390" s="1"/>
      <c r="N390" s="1"/>
      <c r="Q390" s="1"/>
      <c r="R390" s="168"/>
      <c r="S390" s="168"/>
      <c r="T390" s="168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68"/>
      <c r="H391" s="168"/>
      <c r="K391" s="1"/>
      <c r="N391" s="1"/>
      <c r="Q391" s="1"/>
      <c r="R391" s="168"/>
      <c r="S391" s="168"/>
      <c r="T391" s="168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68"/>
      <c r="H392" s="168"/>
      <c r="K392" s="1"/>
      <c r="N392" s="1"/>
      <c r="Q392" s="1"/>
      <c r="R392" s="168"/>
      <c r="S392" s="168"/>
      <c r="T392" s="168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68"/>
      <c r="H393" s="168"/>
      <c r="K393" s="1"/>
      <c r="N393" s="1"/>
      <c r="Q393" s="1"/>
      <c r="R393" s="168"/>
      <c r="S393" s="168"/>
      <c r="T393" s="168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68"/>
      <c r="H394" s="168"/>
      <c r="K394" s="1"/>
      <c r="N394" s="1"/>
      <c r="Q394" s="1"/>
      <c r="R394" s="168"/>
      <c r="S394" s="168"/>
      <c r="T394" s="168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68"/>
      <c r="H395" s="168"/>
      <c r="K395" s="1"/>
      <c r="N395" s="1"/>
      <c r="Q395" s="1"/>
      <c r="R395" s="168"/>
      <c r="S395" s="168"/>
      <c r="T395" s="168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68"/>
      <c r="H396" s="168"/>
      <c r="K396" s="1"/>
      <c r="N396" s="1"/>
      <c r="Q396" s="1"/>
      <c r="R396" s="168"/>
      <c r="S396" s="168"/>
      <c r="T396" s="168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68"/>
      <c r="H397" s="168"/>
      <c r="K397" s="1"/>
      <c r="N397" s="1"/>
      <c r="Q397" s="1"/>
      <c r="R397" s="168"/>
      <c r="S397" s="168"/>
      <c r="T397" s="168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68"/>
      <c r="H398" s="168"/>
      <c r="K398" s="1"/>
      <c r="N398" s="1"/>
      <c r="Q398" s="1"/>
      <c r="R398" s="168"/>
      <c r="S398" s="168"/>
      <c r="T398" s="168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68"/>
      <c r="H399" s="168"/>
      <c r="K399" s="1"/>
      <c r="N399" s="1"/>
      <c r="Q399" s="1"/>
      <c r="R399" s="168"/>
      <c r="S399" s="168"/>
      <c r="T399" s="168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68"/>
      <c r="H400" s="168"/>
      <c r="K400" s="1"/>
      <c r="N400" s="1"/>
      <c r="Q400" s="1"/>
      <c r="R400" s="168"/>
      <c r="S400" s="168"/>
      <c r="T400" s="168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68"/>
      <c r="H401" s="168"/>
      <c r="K401" s="1"/>
      <c r="N401" s="1"/>
      <c r="Q401" s="1"/>
      <c r="R401" s="168"/>
      <c r="S401" s="168"/>
      <c r="T401" s="168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68"/>
      <c r="H402" s="168"/>
      <c r="K402" s="1"/>
      <c r="N402" s="1"/>
      <c r="Q402" s="1"/>
      <c r="R402" s="168"/>
      <c r="S402" s="168"/>
      <c r="T402" s="168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68"/>
      <c r="H403" s="168"/>
      <c r="K403" s="1"/>
      <c r="N403" s="1"/>
      <c r="Q403" s="1"/>
      <c r="R403" s="168"/>
      <c r="S403" s="168"/>
      <c r="T403" s="168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68"/>
      <c r="H404" s="168"/>
      <c r="K404" s="1"/>
      <c r="N404" s="1"/>
      <c r="Q404" s="1"/>
      <c r="R404" s="168"/>
      <c r="S404" s="168"/>
      <c r="T404" s="168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68"/>
      <c r="H405" s="168"/>
      <c r="K405" s="1"/>
      <c r="N405" s="1"/>
      <c r="Q405" s="1"/>
      <c r="R405" s="168"/>
      <c r="S405" s="168"/>
      <c r="T405" s="168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68"/>
      <c r="H406" s="168"/>
      <c r="K406" s="1"/>
      <c r="N406" s="1"/>
      <c r="Q406" s="1"/>
      <c r="R406" s="168"/>
      <c r="S406" s="168"/>
      <c r="T406" s="168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68"/>
      <c r="H407" s="168"/>
      <c r="K407" s="1"/>
      <c r="N407" s="1"/>
      <c r="Q407" s="1"/>
      <c r="R407" s="168"/>
      <c r="S407" s="168"/>
      <c r="T407" s="168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68"/>
      <c r="H408" s="168"/>
      <c r="K408" s="1"/>
      <c r="N408" s="1"/>
      <c r="Q408" s="1"/>
      <c r="R408" s="168"/>
      <c r="S408" s="168"/>
      <c r="T408" s="168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68"/>
      <c r="H409" s="168"/>
      <c r="K409" s="1"/>
      <c r="N409" s="1"/>
      <c r="Q409" s="1"/>
      <c r="R409" s="168"/>
      <c r="S409" s="168"/>
      <c r="T409" s="168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68"/>
      <c r="H410" s="168"/>
      <c r="K410" s="1"/>
      <c r="N410" s="1"/>
      <c r="Q410" s="1"/>
      <c r="R410" s="168"/>
      <c r="S410" s="168"/>
      <c r="T410" s="168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68"/>
      <c r="H411" s="168"/>
      <c r="K411" s="1"/>
      <c r="N411" s="1"/>
      <c r="Q411" s="1"/>
      <c r="R411" s="168"/>
      <c r="S411" s="168"/>
      <c r="T411" s="168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68"/>
      <c r="H412" s="168"/>
      <c r="K412" s="1"/>
      <c r="N412" s="1"/>
      <c r="Q412" s="1"/>
      <c r="R412" s="168"/>
      <c r="S412" s="168"/>
      <c r="T412" s="168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68"/>
      <c r="H413" s="168"/>
      <c r="K413" s="1"/>
      <c r="N413" s="1"/>
      <c r="Q413" s="1"/>
      <c r="R413" s="168"/>
      <c r="S413" s="168"/>
      <c r="T413" s="168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68"/>
      <c r="H414" s="168"/>
      <c r="K414" s="1"/>
      <c r="N414" s="1"/>
      <c r="Q414" s="1"/>
      <c r="R414" s="168"/>
      <c r="S414" s="168"/>
      <c r="T414" s="168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68"/>
      <c r="H415" s="168"/>
      <c r="K415" s="1"/>
      <c r="N415" s="1"/>
      <c r="Q415" s="1"/>
      <c r="R415" s="168"/>
      <c r="S415" s="168"/>
      <c r="T415" s="168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68"/>
      <c r="H416" s="168"/>
      <c r="K416" s="1"/>
      <c r="N416" s="1"/>
      <c r="Q416" s="1"/>
      <c r="R416" s="168"/>
      <c r="S416" s="168"/>
      <c r="T416" s="168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68"/>
      <c r="H417" s="168"/>
      <c r="K417" s="1"/>
      <c r="N417" s="1"/>
      <c r="Q417" s="1"/>
      <c r="R417" s="168"/>
      <c r="S417" s="168"/>
      <c r="T417" s="168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68"/>
      <c r="H418" s="168"/>
      <c r="K418" s="1"/>
      <c r="N418" s="1"/>
      <c r="Q418" s="1"/>
      <c r="R418" s="168"/>
      <c r="S418" s="168"/>
      <c r="T418" s="168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68"/>
      <c r="H419" s="168"/>
      <c r="K419" s="1"/>
      <c r="N419" s="1"/>
      <c r="Q419" s="1"/>
      <c r="R419" s="168"/>
      <c r="S419" s="168"/>
      <c r="T419" s="168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68"/>
      <c r="H420" s="168"/>
      <c r="K420" s="1"/>
      <c r="N420" s="1"/>
      <c r="Q420" s="1"/>
      <c r="R420" s="168"/>
      <c r="S420" s="168"/>
      <c r="T420" s="168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68"/>
      <c r="H421" s="168"/>
      <c r="K421" s="1"/>
      <c r="N421" s="1"/>
      <c r="Q421" s="1"/>
      <c r="R421" s="168"/>
      <c r="S421" s="168"/>
      <c r="T421" s="168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68"/>
      <c r="H422" s="168"/>
      <c r="K422" s="1"/>
      <c r="N422" s="1"/>
      <c r="Q422" s="1"/>
      <c r="R422" s="168"/>
      <c r="S422" s="168"/>
      <c r="T422" s="168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68"/>
      <c r="H423" s="168"/>
      <c r="K423" s="1"/>
      <c r="N423" s="1"/>
      <c r="Q423" s="1"/>
      <c r="R423" s="168"/>
      <c r="S423" s="168"/>
      <c r="T423" s="168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68"/>
      <c r="H424" s="168"/>
      <c r="K424" s="1"/>
      <c r="N424" s="1"/>
      <c r="Q424" s="1"/>
      <c r="R424" s="168"/>
      <c r="S424" s="168"/>
      <c r="T424" s="168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68"/>
      <c r="H425" s="168"/>
      <c r="K425" s="1"/>
      <c r="N425" s="1"/>
      <c r="Q425" s="1"/>
      <c r="R425" s="168"/>
      <c r="S425" s="168"/>
      <c r="T425" s="168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68"/>
      <c r="H426" s="168"/>
      <c r="K426" s="1"/>
      <c r="N426" s="1"/>
      <c r="Q426" s="1"/>
      <c r="R426" s="168"/>
      <c r="S426" s="168"/>
      <c r="T426" s="168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68"/>
      <c r="H427" s="168"/>
      <c r="K427" s="1"/>
      <c r="N427" s="1"/>
      <c r="Q427" s="1"/>
      <c r="R427" s="168"/>
      <c r="S427" s="168"/>
      <c r="T427" s="168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68"/>
      <c r="H428" s="168"/>
      <c r="K428" s="1"/>
      <c r="N428" s="1"/>
      <c r="Q428" s="1"/>
      <c r="R428" s="168"/>
      <c r="S428" s="168"/>
      <c r="T428" s="168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68"/>
      <c r="H429" s="168"/>
      <c r="K429" s="1"/>
      <c r="N429" s="1"/>
      <c r="Q429" s="1"/>
      <c r="R429" s="168"/>
      <c r="S429" s="168"/>
      <c r="T429" s="168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68"/>
      <c r="H430" s="168"/>
      <c r="K430" s="1"/>
      <c r="N430" s="1"/>
      <c r="Q430" s="1"/>
      <c r="R430" s="168"/>
      <c r="S430" s="168"/>
      <c r="T430" s="168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68"/>
      <c r="H431" s="168"/>
      <c r="K431" s="1"/>
      <c r="N431" s="1"/>
      <c r="Q431" s="1"/>
      <c r="R431" s="168"/>
      <c r="S431" s="168"/>
      <c r="T431" s="168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68"/>
      <c r="H432" s="168"/>
      <c r="K432" s="1"/>
      <c r="N432" s="1"/>
      <c r="Q432" s="1"/>
      <c r="R432" s="168"/>
      <c r="S432" s="168"/>
      <c r="T432" s="168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68"/>
      <c r="H433" s="168"/>
      <c r="K433" s="1"/>
      <c r="N433" s="1"/>
      <c r="Q433" s="1"/>
      <c r="R433" s="168"/>
      <c r="S433" s="168"/>
      <c r="T433" s="168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68"/>
      <c r="H434" s="168"/>
      <c r="K434" s="1"/>
      <c r="N434" s="1"/>
      <c r="Q434" s="1"/>
      <c r="R434" s="168"/>
      <c r="S434" s="168"/>
      <c r="T434" s="168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68"/>
      <c r="H435" s="168"/>
      <c r="K435" s="1"/>
      <c r="N435" s="1"/>
      <c r="Q435" s="1"/>
      <c r="R435" s="168"/>
      <c r="S435" s="168"/>
      <c r="T435" s="168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68"/>
      <c r="H436" s="168"/>
      <c r="K436" s="1"/>
      <c r="N436" s="1"/>
      <c r="Q436" s="1"/>
      <c r="R436" s="168"/>
      <c r="S436" s="168"/>
      <c r="T436" s="168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68"/>
      <c r="H437" s="168"/>
      <c r="K437" s="1"/>
      <c r="N437" s="1"/>
      <c r="Q437" s="1"/>
      <c r="R437" s="168"/>
      <c r="S437" s="168"/>
      <c r="T437" s="168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68"/>
      <c r="H438" s="168"/>
      <c r="K438" s="1"/>
      <c r="N438" s="1"/>
      <c r="Q438" s="1"/>
      <c r="R438" s="168"/>
      <c r="S438" s="168"/>
      <c r="T438" s="168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68"/>
      <c r="H439" s="168"/>
      <c r="K439" s="1"/>
      <c r="N439" s="1"/>
      <c r="Q439" s="1"/>
      <c r="R439" s="168"/>
      <c r="S439" s="168"/>
      <c r="T439" s="168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68"/>
      <c r="H440" s="168"/>
      <c r="K440" s="1"/>
      <c r="N440" s="1"/>
      <c r="Q440" s="1"/>
      <c r="R440" s="168"/>
      <c r="S440" s="168"/>
      <c r="T440" s="168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68"/>
      <c r="H441" s="168"/>
      <c r="K441" s="1"/>
      <c r="N441" s="1"/>
      <c r="Q441" s="1"/>
      <c r="R441" s="168"/>
      <c r="S441" s="168"/>
      <c r="T441" s="168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68"/>
      <c r="H442" s="168"/>
      <c r="K442" s="1"/>
      <c r="N442" s="1"/>
      <c r="Q442" s="1"/>
      <c r="R442" s="168"/>
      <c r="S442" s="168"/>
      <c r="T442" s="168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68"/>
      <c r="H443" s="168"/>
      <c r="K443" s="1"/>
      <c r="N443" s="1"/>
      <c r="Q443" s="1"/>
      <c r="R443" s="168"/>
      <c r="S443" s="168"/>
      <c r="T443" s="168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68"/>
      <c r="H444" s="168"/>
      <c r="K444" s="1"/>
      <c r="N444" s="1"/>
      <c r="Q444" s="1"/>
      <c r="R444" s="168"/>
      <c r="S444" s="168"/>
      <c r="T444" s="168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68"/>
      <c r="H445" s="168"/>
      <c r="K445" s="1"/>
      <c r="N445" s="1"/>
      <c r="Q445" s="1"/>
      <c r="R445" s="168"/>
      <c r="S445" s="168"/>
      <c r="T445" s="168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68"/>
      <c r="H446" s="168"/>
      <c r="K446" s="1"/>
      <c r="N446" s="1"/>
      <c r="Q446" s="1"/>
      <c r="R446" s="168"/>
      <c r="S446" s="168"/>
      <c r="T446" s="168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68"/>
      <c r="H447" s="168"/>
      <c r="K447" s="1"/>
      <c r="N447" s="1"/>
      <c r="Q447" s="1"/>
      <c r="R447" s="168"/>
      <c r="S447" s="168"/>
      <c r="T447" s="168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68"/>
      <c r="H448" s="168"/>
      <c r="K448" s="1"/>
      <c r="N448" s="1"/>
      <c r="Q448" s="1"/>
      <c r="R448" s="168"/>
      <c r="S448" s="168"/>
      <c r="T448" s="168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68"/>
      <c r="H449" s="168"/>
      <c r="K449" s="1"/>
      <c r="N449" s="1"/>
      <c r="Q449" s="1"/>
      <c r="R449" s="168"/>
      <c r="S449" s="168"/>
      <c r="T449" s="168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68"/>
      <c r="H450" s="168"/>
      <c r="K450" s="1"/>
      <c r="N450" s="1"/>
      <c r="Q450" s="1"/>
      <c r="R450" s="168"/>
      <c r="S450" s="168"/>
      <c r="T450" s="168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68"/>
      <c r="H451" s="168"/>
      <c r="K451" s="1"/>
      <c r="N451" s="1"/>
      <c r="Q451" s="1"/>
      <c r="R451" s="168"/>
      <c r="S451" s="168"/>
      <c r="T451" s="168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68"/>
      <c r="H452" s="168"/>
      <c r="K452" s="1"/>
      <c r="N452" s="1"/>
      <c r="Q452" s="1"/>
      <c r="R452" s="168"/>
      <c r="S452" s="168"/>
      <c r="T452" s="168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68"/>
      <c r="H453" s="168"/>
      <c r="K453" s="1"/>
      <c r="N453" s="1"/>
      <c r="Q453" s="1"/>
      <c r="R453" s="168"/>
      <c r="S453" s="168"/>
      <c r="T453" s="168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68"/>
      <c r="H454" s="168"/>
      <c r="K454" s="1"/>
      <c r="N454" s="1"/>
      <c r="Q454" s="1"/>
      <c r="R454" s="168"/>
      <c r="S454" s="168"/>
      <c r="T454" s="168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68"/>
      <c r="H455" s="168"/>
      <c r="K455" s="1"/>
      <c r="N455" s="1"/>
      <c r="Q455" s="1"/>
      <c r="R455" s="168"/>
      <c r="S455" s="168"/>
      <c r="T455" s="168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68"/>
      <c r="H456" s="168"/>
      <c r="K456" s="1"/>
      <c r="N456" s="1"/>
      <c r="Q456" s="1"/>
      <c r="R456" s="168"/>
      <c r="S456" s="168"/>
      <c r="T456" s="168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68"/>
      <c r="H457" s="168"/>
      <c r="K457" s="1"/>
      <c r="N457" s="1"/>
      <c r="Q457" s="1"/>
      <c r="R457" s="168"/>
      <c r="S457" s="168"/>
      <c r="T457" s="168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68"/>
      <c r="H458" s="168"/>
      <c r="K458" s="1"/>
      <c r="N458" s="1"/>
      <c r="Q458" s="1"/>
      <c r="R458" s="168"/>
      <c r="S458" s="168"/>
      <c r="T458" s="168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68"/>
      <c r="H459" s="168"/>
      <c r="K459" s="1"/>
      <c r="N459" s="1"/>
      <c r="Q459" s="1"/>
      <c r="R459" s="168"/>
      <c r="S459" s="168"/>
      <c r="T459" s="168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68"/>
      <c r="H460" s="168"/>
      <c r="K460" s="1"/>
      <c r="N460" s="1"/>
      <c r="Q460" s="1"/>
      <c r="R460" s="168"/>
      <c r="S460" s="168"/>
      <c r="T460" s="168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68"/>
      <c r="H461" s="168"/>
      <c r="K461" s="1"/>
      <c r="N461" s="1"/>
      <c r="Q461" s="1"/>
      <c r="R461" s="168"/>
      <c r="S461" s="168"/>
      <c r="T461" s="168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68"/>
      <c r="H462" s="168"/>
      <c r="K462" s="1"/>
      <c r="N462" s="1"/>
      <c r="Q462" s="1"/>
      <c r="R462" s="168"/>
      <c r="S462" s="168"/>
      <c r="T462" s="168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68"/>
      <c r="H463" s="168"/>
      <c r="K463" s="1"/>
      <c r="N463" s="1"/>
      <c r="Q463" s="1"/>
      <c r="R463" s="168"/>
      <c r="S463" s="168"/>
      <c r="T463" s="168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68"/>
      <c r="H464" s="168"/>
      <c r="K464" s="1"/>
      <c r="N464" s="1"/>
      <c r="Q464" s="1"/>
      <c r="R464" s="168"/>
      <c r="S464" s="168"/>
      <c r="T464" s="168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68"/>
      <c r="H465" s="168"/>
      <c r="K465" s="1"/>
      <c r="N465" s="1"/>
      <c r="Q465" s="1"/>
      <c r="R465" s="168"/>
      <c r="S465" s="168"/>
      <c r="T465" s="168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68"/>
      <c r="H466" s="168"/>
      <c r="K466" s="1"/>
      <c r="N466" s="1"/>
      <c r="Q466" s="1"/>
      <c r="R466" s="168"/>
      <c r="S466" s="168"/>
      <c r="T466" s="168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68"/>
      <c r="H467" s="168"/>
      <c r="K467" s="1"/>
      <c r="N467" s="1"/>
      <c r="Q467" s="1"/>
      <c r="R467" s="168"/>
      <c r="S467" s="168"/>
      <c r="T467" s="168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68"/>
      <c r="H468" s="168"/>
      <c r="K468" s="1"/>
      <c r="N468" s="1"/>
      <c r="Q468" s="1"/>
      <c r="R468" s="168"/>
      <c r="S468" s="168"/>
      <c r="T468" s="168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68"/>
      <c r="H469" s="168"/>
      <c r="K469" s="1"/>
      <c r="N469" s="1"/>
      <c r="Q469" s="1"/>
      <c r="R469" s="168"/>
      <c r="S469" s="168"/>
      <c r="T469" s="168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68"/>
      <c r="H470" s="168"/>
      <c r="K470" s="1"/>
      <c r="N470" s="1"/>
      <c r="Q470" s="1"/>
      <c r="R470" s="168"/>
      <c r="S470" s="168"/>
      <c r="T470" s="168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68"/>
      <c r="H471" s="168"/>
      <c r="K471" s="1"/>
      <c r="N471" s="1"/>
      <c r="Q471" s="1"/>
      <c r="R471" s="168"/>
      <c r="S471" s="168"/>
      <c r="T471" s="168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68"/>
      <c r="H472" s="168"/>
      <c r="K472" s="1"/>
      <c r="N472" s="1"/>
      <c r="Q472" s="1"/>
      <c r="R472" s="168"/>
      <c r="S472" s="168"/>
      <c r="T472" s="168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68"/>
      <c r="H473" s="168"/>
      <c r="K473" s="1"/>
      <c r="N473" s="1"/>
      <c r="Q473" s="1"/>
      <c r="R473" s="168"/>
      <c r="S473" s="168"/>
      <c r="T473" s="168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68"/>
      <c r="H474" s="168"/>
      <c r="K474" s="1"/>
      <c r="N474" s="1"/>
      <c r="Q474" s="1"/>
      <c r="R474" s="168"/>
      <c r="S474" s="168"/>
      <c r="T474" s="168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68"/>
      <c r="H475" s="168"/>
      <c r="K475" s="1"/>
      <c r="N475" s="1"/>
      <c r="Q475" s="1"/>
      <c r="R475" s="168"/>
      <c r="S475" s="168"/>
      <c r="T475" s="168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68"/>
      <c r="H476" s="168"/>
      <c r="K476" s="1"/>
      <c r="N476" s="1"/>
      <c r="Q476" s="1"/>
      <c r="R476" s="168"/>
      <c r="S476" s="168"/>
      <c r="T476" s="168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68"/>
      <c r="H477" s="168"/>
      <c r="K477" s="1"/>
      <c r="N477" s="1"/>
      <c r="Q477" s="1"/>
      <c r="R477" s="168"/>
      <c r="S477" s="168"/>
      <c r="T477" s="168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68"/>
      <c r="H478" s="168"/>
      <c r="K478" s="1"/>
      <c r="N478" s="1"/>
      <c r="Q478" s="1"/>
      <c r="R478" s="168"/>
      <c r="S478" s="168"/>
      <c r="T478" s="168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68"/>
      <c r="H479" s="168"/>
      <c r="K479" s="1"/>
      <c r="N479" s="1"/>
      <c r="Q479" s="1"/>
      <c r="R479" s="168"/>
      <c r="S479" s="168"/>
      <c r="T479" s="168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68"/>
      <c r="H480" s="168"/>
      <c r="K480" s="1"/>
      <c r="N480" s="1"/>
      <c r="Q480" s="1"/>
      <c r="R480" s="168"/>
      <c r="S480" s="168"/>
      <c r="T480" s="168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68"/>
      <c r="H481" s="168"/>
      <c r="K481" s="1"/>
      <c r="N481" s="1"/>
      <c r="Q481" s="1"/>
      <c r="R481" s="168"/>
      <c r="S481" s="168"/>
      <c r="T481" s="168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68"/>
      <c r="H482" s="168"/>
      <c r="K482" s="1"/>
      <c r="N482" s="1"/>
      <c r="Q482" s="1"/>
      <c r="R482" s="168"/>
      <c r="S482" s="168"/>
      <c r="T482" s="168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68"/>
      <c r="H483" s="168"/>
      <c r="K483" s="1"/>
      <c r="N483" s="1"/>
      <c r="Q483" s="1"/>
      <c r="R483" s="168"/>
      <c r="S483" s="168"/>
      <c r="T483" s="168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68"/>
      <c r="H484" s="168"/>
      <c r="K484" s="1"/>
      <c r="N484" s="1"/>
      <c r="Q484" s="1"/>
      <c r="R484" s="168"/>
      <c r="S484" s="168"/>
      <c r="T484" s="168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68"/>
      <c r="H485" s="168"/>
      <c r="K485" s="1"/>
      <c r="N485" s="1"/>
      <c r="Q485" s="1"/>
      <c r="R485" s="168"/>
      <c r="S485" s="168"/>
      <c r="T485" s="168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68"/>
      <c r="H486" s="168"/>
      <c r="K486" s="1"/>
      <c r="N486" s="1"/>
      <c r="Q486" s="1"/>
      <c r="R486" s="168"/>
      <c r="S486" s="168"/>
      <c r="T486" s="168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68"/>
      <c r="H487" s="168"/>
      <c r="K487" s="1"/>
      <c r="N487" s="1"/>
      <c r="Q487" s="1"/>
      <c r="R487" s="168"/>
      <c r="S487" s="168"/>
      <c r="T487" s="168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68"/>
      <c r="H488" s="168"/>
      <c r="K488" s="1"/>
      <c r="N488" s="1"/>
      <c r="Q488" s="1"/>
      <c r="R488" s="168"/>
      <c r="S488" s="168"/>
      <c r="T488" s="168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68"/>
      <c r="H489" s="168"/>
      <c r="K489" s="1"/>
      <c r="N489" s="1"/>
      <c r="Q489" s="1"/>
      <c r="R489" s="168"/>
      <c r="S489" s="168"/>
      <c r="T489" s="168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68"/>
      <c r="H490" s="168"/>
      <c r="K490" s="1"/>
      <c r="N490" s="1"/>
      <c r="Q490" s="1"/>
      <c r="R490" s="168"/>
      <c r="S490" s="168"/>
      <c r="T490" s="168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68"/>
      <c r="H491" s="168"/>
      <c r="K491" s="1"/>
      <c r="N491" s="1"/>
      <c r="Q491" s="1"/>
      <c r="R491" s="168"/>
      <c r="S491" s="168"/>
      <c r="T491" s="168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68"/>
      <c r="H492" s="168"/>
      <c r="K492" s="1"/>
      <c r="N492" s="1"/>
      <c r="Q492" s="1"/>
      <c r="R492" s="168"/>
      <c r="S492" s="168"/>
      <c r="T492" s="168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68"/>
      <c r="H493" s="168"/>
      <c r="K493" s="1"/>
      <c r="N493" s="1"/>
      <c r="Q493" s="1"/>
      <c r="R493" s="168"/>
      <c r="S493" s="168"/>
      <c r="T493" s="168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68"/>
      <c r="H494" s="168"/>
      <c r="K494" s="1"/>
      <c r="N494" s="1"/>
      <c r="Q494" s="1"/>
      <c r="R494" s="168"/>
      <c r="S494" s="168"/>
      <c r="T494" s="168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68"/>
      <c r="H495" s="168"/>
      <c r="K495" s="1"/>
      <c r="N495" s="1"/>
      <c r="Q495" s="1"/>
      <c r="R495" s="168"/>
      <c r="S495" s="168"/>
      <c r="T495" s="168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68"/>
      <c r="H496" s="168"/>
      <c r="K496" s="1"/>
      <c r="N496" s="1"/>
      <c r="Q496" s="1"/>
      <c r="R496" s="168"/>
      <c r="S496" s="168"/>
      <c r="T496" s="168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68"/>
      <c r="H497" s="168"/>
      <c r="K497" s="1"/>
      <c r="N497" s="1"/>
      <c r="Q497" s="1"/>
      <c r="R497" s="168"/>
      <c r="S497" s="168"/>
      <c r="T497" s="168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68"/>
      <c r="H498" s="168"/>
      <c r="K498" s="1"/>
      <c r="N498" s="1"/>
      <c r="Q498" s="1"/>
      <c r="R498" s="168"/>
      <c r="S498" s="168"/>
      <c r="T498" s="168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68"/>
      <c r="H499" s="168"/>
      <c r="K499" s="1"/>
      <c r="N499" s="1"/>
      <c r="Q499" s="1"/>
      <c r="R499" s="168"/>
      <c r="S499" s="168"/>
      <c r="T499" s="168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68"/>
      <c r="H500" s="168"/>
      <c r="K500" s="1"/>
      <c r="N500" s="1"/>
      <c r="Q500" s="1"/>
      <c r="R500" s="168"/>
      <c r="S500" s="168"/>
      <c r="T500" s="168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68"/>
      <c r="H501" s="168"/>
      <c r="K501" s="1"/>
      <c r="N501" s="1"/>
      <c r="Q501" s="1"/>
      <c r="R501" s="168"/>
      <c r="S501" s="168"/>
      <c r="T501" s="168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68"/>
      <c r="H502" s="168"/>
      <c r="K502" s="1"/>
      <c r="N502" s="1"/>
      <c r="Q502" s="1"/>
      <c r="R502" s="168"/>
      <c r="S502" s="168"/>
      <c r="T502" s="168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68"/>
      <c r="H503" s="168"/>
      <c r="K503" s="1"/>
      <c r="N503" s="1"/>
      <c r="Q503" s="1"/>
      <c r="R503" s="168"/>
      <c r="S503" s="168"/>
      <c r="T503" s="168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68"/>
      <c r="H504" s="168"/>
      <c r="K504" s="1"/>
      <c r="N504" s="1"/>
      <c r="Q504" s="1"/>
      <c r="R504" s="168"/>
      <c r="S504" s="168"/>
      <c r="T504" s="168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68"/>
      <c r="H505" s="168"/>
      <c r="K505" s="1"/>
      <c r="N505" s="1"/>
      <c r="Q505" s="1"/>
      <c r="R505" s="168"/>
      <c r="S505" s="168"/>
      <c r="T505" s="168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68"/>
      <c r="H506" s="168"/>
      <c r="K506" s="1"/>
      <c r="N506" s="1"/>
      <c r="Q506" s="1"/>
      <c r="R506" s="168"/>
      <c r="S506" s="168"/>
      <c r="T506" s="168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68"/>
      <c r="H507" s="168"/>
      <c r="K507" s="1"/>
      <c r="N507" s="1"/>
      <c r="Q507" s="1"/>
      <c r="R507" s="168"/>
      <c r="S507" s="168"/>
      <c r="T507" s="168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68"/>
      <c r="H508" s="168"/>
      <c r="K508" s="1"/>
      <c r="N508" s="1"/>
      <c r="Q508" s="1"/>
      <c r="R508" s="168"/>
      <c r="S508" s="168"/>
      <c r="T508" s="168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68"/>
      <c r="H509" s="168"/>
      <c r="K509" s="1"/>
      <c r="N509" s="1"/>
      <c r="Q509" s="1"/>
      <c r="R509" s="168"/>
      <c r="S509" s="168"/>
      <c r="T509" s="168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68"/>
      <c r="H510" s="168"/>
      <c r="K510" s="1"/>
      <c r="N510" s="1"/>
      <c r="Q510" s="1"/>
      <c r="R510" s="168"/>
      <c r="S510" s="168"/>
      <c r="T510" s="168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68"/>
      <c r="H511" s="168"/>
      <c r="K511" s="1"/>
      <c r="N511" s="1"/>
      <c r="Q511" s="1"/>
      <c r="R511" s="168"/>
      <c r="S511" s="168"/>
      <c r="T511" s="168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68"/>
      <c r="H512" s="168"/>
      <c r="K512" s="1"/>
      <c r="N512" s="1"/>
      <c r="Q512" s="1"/>
      <c r="R512" s="168"/>
      <c r="S512" s="168"/>
      <c r="T512" s="168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68"/>
      <c r="H513" s="168"/>
      <c r="K513" s="1"/>
      <c r="N513" s="1"/>
      <c r="Q513" s="1"/>
      <c r="R513" s="168"/>
      <c r="S513" s="168"/>
      <c r="T513" s="168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68"/>
      <c r="H514" s="168"/>
      <c r="K514" s="1"/>
      <c r="N514" s="1"/>
      <c r="Q514" s="1"/>
      <c r="R514" s="168"/>
      <c r="S514" s="168"/>
      <c r="T514" s="168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68"/>
      <c r="H515" s="168"/>
      <c r="K515" s="1"/>
      <c r="N515" s="1"/>
      <c r="Q515" s="1"/>
      <c r="R515" s="168"/>
      <c r="S515" s="168"/>
      <c r="T515" s="168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68"/>
      <c r="H516" s="168"/>
      <c r="K516" s="1"/>
      <c r="N516" s="1"/>
      <c r="Q516" s="1"/>
      <c r="R516" s="168"/>
      <c r="S516" s="168"/>
      <c r="T516" s="168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68"/>
      <c r="H517" s="168"/>
      <c r="K517" s="1"/>
      <c r="N517" s="1"/>
      <c r="Q517" s="1"/>
      <c r="R517" s="168"/>
      <c r="S517" s="168"/>
      <c r="T517" s="168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68"/>
      <c r="H518" s="168"/>
      <c r="K518" s="1"/>
      <c r="N518" s="1"/>
      <c r="Q518" s="1"/>
      <c r="R518" s="168"/>
      <c r="S518" s="168"/>
      <c r="T518" s="168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68"/>
      <c r="H519" s="168"/>
      <c r="K519" s="1"/>
      <c r="N519" s="1"/>
      <c r="Q519" s="1"/>
      <c r="R519" s="168"/>
      <c r="S519" s="168"/>
      <c r="T519" s="168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68"/>
      <c r="H520" s="168"/>
      <c r="K520" s="1"/>
      <c r="N520" s="1"/>
      <c r="Q520" s="1"/>
      <c r="R520" s="168"/>
      <c r="S520" s="168"/>
      <c r="T520" s="168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68"/>
      <c r="H521" s="168"/>
      <c r="K521" s="1"/>
      <c r="N521" s="1"/>
      <c r="Q521" s="1"/>
      <c r="R521" s="168"/>
      <c r="S521" s="168"/>
      <c r="T521" s="168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68"/>
      <c r="H522" s="168"/>
      <c r="K522" s="1"/>
      <c r="N522" s="1"/>
      <c r="Q522" s="1"/>
      <c r="R522" s="168"/>
      <c r="S522" s="168"/>
      <c r="T522" s="168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68"/>
      <c r="H523" s="168"/>
      <c r="K523" s="1"/>
      <c r="N523" s="1"/>
      <c r="Q523" s="1"/>
      <c r="R523" s="168"/>
      <c r="S523" s="168"/>
      <c r="T523" s="168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68"/>
      <c r="H524" s="168"/>
      <c r="K524" s="1"/>
      <c r="N524" s="1"/>
      <c r="Q524" s="1"/>
      <c r="R524" s="168"/>
      <c r="S524" s="168"/>
      <c r="T524" s="168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68"/>
      <c r="H525" s="168"/>
      <c r="K525" s="1"/>
      <c r="N525" s="1"/>
      <c r="Q525" s="1"/>
      <c r="R525" s="168"/>
      <c r="S525" s="168"/>
      <c r="T525" s="168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68"/>
      <c r="H526" s="168"/>
      <c r="K526" s="1"/>
      <c r="N526" s="1"/>
      <c r="Q526" s="1"/>
      <c r="R526" s="168"/>
      <c r="S526" s="168"/>
      <c r="T526" s="168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68"/>
      <c r="H527" s="168"/>
      <c r="K527" s="1"/>
      <c r="N527" s="1"/>
      <c r="Q527" s="1"/>
      <c r="R527" s="168"/>
      <c r="S527" s="168"/>
      <c r="T527" s="168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68"/>
      <c r="H528" s="168"/>
      <c r="K528" s="1"/>
      <c r="N528" s="1"/>
      <c r="Q528" s="1"/>
      <c r="R528" s="168"/>
      <c r="S528" s="168"/>
      <c r="T528" s="168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68"/>
      <c r="H529" s="168"/>
      <c r="K529" s="1"/>
      <c r="N529" s="1"/>
      <c r="Q529" s="1"/>
      <c r="R529" s="168"/>
      <c r="S529" s="168"/>
      <c r="T529" s="168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68"/>
      <c r="H530" s="168"/>
      <c r="K530" s="1"/>
      <c r="N530" s="1"/>
      <c r="Q530" s="1"/>
      <c r="R530" s="168"/>
      <c r="S530" s="168"/>
      <c r="T530" s="168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68"/>
      <c r="H531" s="168"/>
      <c r="K531" s="1"/>
      <c r="N531" s="1"/>
      <c r="Q531" s="1"/>
      <c r="R531" s="168"/>
      <c r="S531" s="168"/>
      <c r="T531" s="168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68"/>
      <c r="H532" s="168"/>
      <c r="K532" s="1"/>
      <c r="N532" s="1"/>
      <c r="Q532" s="1"/>
      <c r="R532" s="168"/>
      <c r="S532" s="168"/>
      <c r="T532" s="168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68"/>
      <c r="H533" s="168"/>
      <c r="K533" s="1"/>
      <c r="N533" s="1"/>
      <c r="Q533" s="1"/>
      <c r="R533" s="168"/>
      <c r="S533" s="168"/>
      <c r="T533" s="168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68"/>
      <c r="H534" s="168"/>
      <c r="K534" s="1"/>
      <c r="N534" s="1"/>
      <c r="Q534" s="1"/>
      <c r="R534" s="168"/>
      <c r="S534" s="168"/>
      <c r="T534" s="168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68"/>
      <c r="H535" s="168"/>
      <c r="K535" s="1"/>
      <c r="N535" s="1"/>
      <c r="Q535" s="1"/>
      <c r="R535" s="168"/>
      <c r="S535" s="168"/>
      <c r="T535" s="168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68"/>
      <c r="H536" s="168"/>
      <c r="K536" s="1"/>
      <c r="N536" s="1"/>
      <c r="Q536" s="1"/>
      <c r="R536" s="168"/>
      <c r="S536" s="168"/>
      <c r="T536" s="168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68"/>
      <c r="H537" s="168"/>
      <c r="K537" s="1"/>
      <c r="N537" s="1"/>
      <c r="Q537" s="1"/>
      <c r="R537" s="168"/>
      <c r="S537" s="168"/>
      <c r="T537" s="168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68"/>
      <c r="H538" s="168"/>
      <c r="K538" s="1"/>
      <c r="N538" s="1"/>
      <c r="Q538" s="1"/>
      <c r="R538" s="168"/>
      <c r="S538" s="168"/>
      <c r="T538" s="168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68"/>
      <c r="H539" s="168"/>
      <c r="K539" s="1"/>
      <c r="N539" s="1"/>
      <c r="Q539" s="1"/>
      <c r="R539" s="168"/>
      <c r="S539" s="168"/>
      <c r="T539" s="168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68"/>
      <c r="H540" s="168"/>
      <c r="K540" s="1"/>
      <c r="N540" s="1"/>
      <c r="Q540" s="1"/>
      <c r="R540" s="168"/>
      <c r="S540" s="168"/>
      <c r="T540" s="168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68"/>
      <c r="H541" s="168"/>
      <c r="K541" s="1"/>
      <c r="N541" s="1"/>
      <c r="Q541" s="1"/>
      <c r="R541" s="168"/>
      <c r="S541" s="168"/>
      <c r="T541" s="168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68"/>
      <c r="H542" s="168"/>
      <c r="K542" s="1"/>
      <c r="N542" s="1"/>
      <c r="Q542" s="1"/>
      <c r="R542" s="168"/>
      <c r="S542" s="168"/>
      <c r="T542" s="168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68"/>
      <c r="H543" s="168"/>
      <c r="K543" s="1"/>
      <c r="N543" s="1"/>
      <c r="Q543" s="1"/>
      <c r="R543" s="168"/>
      <c r="S543" s="168"/>
      <c r="T543" s="168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68"/>
      <c r="H544" s="168"/>
      <c r="K544" s="1"/>
      <c r="N544" s="1"/>
      <c r="Q544" s="1"/>
      <c r="R544" s="168"/>
      <c r="S544" s="168"/>
      <c r="T544" s="168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68"/>
      <c r="H545" s="168"/>
      <c r="K545" s="1"/>
      <c r="N545" s="1"/>
      <c r="Q545" s="1"/>
      <c r="R545" s="168"/>
      <c r="S545" s="168"/>
      <c r="T545" s="168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68"/>
      <c r="H546" s="168"/>
      <c r="K546" s="1"/>
      <c r="N546" s="1"/>
      <c r="Q546" s="1"/>
      <c r="R546" s="168"/>
      <c r="S546" s="168"/>
      <c r="T546" s="168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68"/>
      <c r="H547" s="168"/>
      <c r="K547" s="1"/>
      <c r="N547" s="1"/>
      <c r="Q547" s="1"/>
      <c r="R547" s="168"/>
      <c r="S547" s="168"/>
      <c r="T547" s="168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68"/>
      <c r="H548" s="168"/>
      <c r="K548" s="1"/>
      <c r="N548" s="1"/>
      <c r="Q548" s="1"/>
      <c r="R548" s="168"/>
      <c r="S548" s="168"/>
      <c r="T548" s="168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68"/>
      <c r="H549" s="168"/>
      <c r="K549" s="1"/>
      <c r="N549" s="1"/>
      <c r="Q549" s="1"/>
      <c r="R549" s="168"/>
      <c r="S549" s="168"/>
      <c r="T549" s="168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68"/>
      <c r="H550" s="168"/>
      <c r="K550" s="1"/>
      <c r="N550" s="1"/>
      <c r="Q550" s="1"/>
      <c r="R550" s="168"/>
      <c r="S550" s="168"/>
      <c r="T550" s="168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68"/>
      <c r="H551" s="168"/>
      <c r="K551" s="1"/>
      <c r="N551" s="1"/>
      <c r="Q551" s="1"/>
      <c r="R551" s="168"/>
      <c r="S551" s="168"/>
      <c r="T551" s="168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68"/>
      <c r="H552" s="168"/>
      <c r="K552" s="1"/>
      <c r="N552" s="1"/>
      <c r="Q552" s="1"/>
      <c r="R552" s="168"/>
      <c r="S552" s="168"/>
      <c r="T552" s="168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68"/>
      <c r="H553" s="168"/>
      <c r="K553" s="1"/>
      <c r="N553" s="1"/>
      <c r="Q553" s="1"/>
      <c r="R553" s="168"/>
      <c r="S553" s="168"/>
      <c r="T553" s="168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68"/>
      <c r="H554" s="168"/>
      <c r="K554" s="1"/>
      <c r="N554" s="1"/>
      <c r="Q554" s="1"/>
      <c r="R554" s="168"/>
      <c r="S554" s="168"/>
      <c r="T554" s="168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68"/>
      <c r="H555" s="168"/>
      <c r="K555" s="1"/>
      <c r="N555" s="1"/>
      <c r="Q555" s="1"/>
      <c r="R555" s="168"/>
      <c r="S555" s="168"/>
      <c r="T555" s="168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68"/>
      <c r="H556" s="168"/>
      <c r="K556" s="1"/>
      <c r="N556" s="1"/>
      <c r="Q556" s="1"/>
      <c r="R556" s="168"/>
      <c r="S556" s="168"/>
      <c r="T556" s="168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68"/>
      <c r="H557" s="168"/>
      <c r="K557" s="1"/>
      <c r="N557" s="1"/>
      <c r="Q557" s="1"/>
      <c r="R557" s="168"/>
      <c r="S557" s="168"/>
      <c r="T557" s="168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68"/>
      <c r="H558" s="168"/>
      <c r="K558" s="1"/>
      <c r="N558" s="1"/>
      <c r="Q558" s="1"/>
      <c r="R558" s="168"/>
      <c r="S558" s="168"/>
      <c r="T558" s="168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68"/>
      <c r="H559" s="168"/>
      <c r="K559" s="1"/>
      <c r="N559" s="1"/>
      <c r="Q559" s="1"/>
      <c r="R559" s="168"/>
      <c r="S559" s="168"/>
      <c r="T559" s="168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68"/>
      <c r="H560" s="168"/>
      <c r="K560" s="1"/>
      <c r="N560" s="1"/>
      <c r="Q560" s="1"/>
      <c r="R560" s="168"/>
      <c r="S560" s="168"/>
      <c r="T560" s="168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68"/>
      <c r="H561" s="168"/>
      <c r="K561" s="1"/>
      <c r="N561" s="1"/>
      <c r="Q561" s="1"/>
      <c r="R561" s="168"/>
      <c r="S561" s="168"/>
      <c r="T561" s="168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68"/>
      <c r="H562" s="168"/>
      <c r="K562" s="1"/>
      <c r="N562" s="1"/>
      <c r="Q562" s="1"/>
      <c r="R562" s="168"/>
      <c r="S562" s="168"/>
      <c r="T562" s="168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68"/>
      <c r="H563" s="168"/>
      <c r="K563" s="1"/>
      <c r="N563" s="1"/>
      <c r="Q563" s="1"/>
      <c r="R563" s="168"/>
      <c r="S563" s="168"/>
      <c r="T563" s="168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68"/>
      <c r="H564" s="168"/>
      <c r="K564" s="1"/>
      <c r="N564" s="1"/>
      <c r="Q564" s="1"/>
      <c r="R564" s="168"/>
      <c r="S564" s="168"/>
      <c r="T564" s="168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68"/>
      <c r="H565" s="168"/>
      <c r="K565" s="1"/>
      <c r="N565" s="1"/>
      <c r="Q565" s="1"/>
      <c r="R565" s="168"/>
      <c r="S565" s="168"/>
      <c r="T565" s="168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68"/>
      <c r="H566" s="168"/>
      <c r="K566" s="1"/>
      <c r="N566" s="1"/>
      <c r="Q566" s="1"/>
      <c r="R566" s="168"/>
      <c r="S566" s="168"/>
      <c r="T566" s="168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68"/>
      <c r="H567" s="168"/>
      <c r="K567" s="1"/>
      <c r="N567" s="1"/>
      <c r="Q567" s="1"/>
      <c r="R567" s="168"/>
      <c r="S567" s="168"/>
      <c r="T567" s="168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68"/>
      <c r="H568" s="168"/>
      <c r="K568" s="1"/>
      <c r="N568" s="1"/>
      <c r="Q568" s="1"/>
      <c r="R568" s="168"/>
      <c r="S568" s="168"/>
      <c r="T568" s="168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68"/>
      <c r="H569" s="168"/>
      <c r="K569" s="1"/>
      <c r="N569" s="1"/>
      <c r="Q569" s="1"/>
      <c r="R569" s="168"/>
      <c r="S569" s="168"/>
      <c r="T569" s="168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68"/>
      <c r="H570" s="168"/>
      <c r="K570" s="1"/>
      <c r="N570" s="1"/>
      <c r="Q570" s="1"/>
      <c r="R570" s="168"/>
      <c r="S570" s="168"/>
      <c r="T570" s="168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68"/>
      <c r="H571" s="168"/>
      <c r="K571" s="1"/>
      <c r="N571" s="1"/>
      <c r="Q571" s="1"/>
      <c r="R571" s="168"/>
      <c r="S571" s="168"/>
      <c r="T571" s="168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68"/>
      <c r="H572" s="168"/>
      <c r="K572" s="1"/>
      <c r="N572" s="1"/>
      <c r="Q572" s="1"/>
      <c r="R572" s="168"/>
      <c r="S572" s="168"/>
      <c r="T572" s="168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68"/>
      <c r="H573" s="168"/>
      <c r="K573" s="1"/>
      <c r="N573" s="1"/>
      <c r="Q573" s="1"/>
      <c r="R573" s="168"/>
      <c r="S573" s="168"/>
      <c r="T573" s="168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68"/>
      <c r="H574" s="168"/>
      <c r="K574" s="1"/>
      <c r="N574" s="1"/>
      <c r="Q574" s="1"/>
      <c r="R574" s="168"/>
      <c r="S574" s="168"/>
      <c r="T574" s="168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68"/>
      <c r="H575" s="168"/>
      <c r="K575" s="1"/>
      <c r="N575" s="1"/>
      <c r="Q575" s="1"/>
      <c r="R575" s="168"/>
      <c r="S575" s="168"/>
      <c r="T575" s="168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68"/>
      <c r="H576" s="168"/>
      <c r="K576" s="1"/>
      <c r="N576" s="1"/>
      <c r="Q576" s="1"/>
      <c r="R576" s="168"/>
      <c r="S576" s="168"/>
      <c r="T576" s="168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68"/>
      <c r="H577" s="168"/>
      <c r="K577" s="1"/>
      <c r="N577" s="1"/>
      <c r="Q577" s="1"/>
      <c r="R577" s="168"/>
      <c r="S577" s="168"/>
      <c r="T577" s="168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68"/>
      <c r="H578" s="168"/>
      <c r="K578" s="1"/>
      <c r="N578" s="1"/>
      <c r="Q578" s="1"/>
      <c r="R578" s="168"/>
      <c r="S578" s="168"/>
      <c r="T578" s="168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68"/>
      <c r="H579" s="168"/>
      <c r="K579" s="1"/>
      <c r="N579" s="1"/>
      <c r="Q579" s="1"/>
      <c r="R579" s="168"/>
      <c r="S579" s="168"/>
      <c r="T579" s="168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68"/>
      <c r="H580" s="168"/>
      <c r="K580" s="1"/>
      <c r="N580" s="1"/>
      <c r="Q580" s="1"/>
      <c r="R580" s="168"/>
      <c r="S580" s="168"/>
      <c r="T580" s="168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68"/>
      <c r="H581" s="168"/>
      <c r="K581" s="1"/>
      <c r="N581" s="1"/>
      <c r="Q581" s="1"/>
      <c r="R581" s="168"/>
      <c r="S581" s="168"/>
      <c r="T581" s="168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68"/>
      <c r="H582" s="168"/>
      <c r="K582" s="1"/>
      <c r="N582" s="1"/>
      <c r="Q582" s="1"/>
      <c r="R582" s="168"/>
      <c r="S582" s="168"/>
      <c r="T582" s="168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68"/>
      <c r="H583" s="168"/>
      <c r="K583" s="1"/>
      <c r="N583" s="1"/>
      <c r="Q583" s="1"/>
      <c r="R583" s="168"/>
      <c r="S583" s="168"/>
      <c r="T583" s="168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68"/>
      <c r="H584" s="168"/>
      <c r="K584" s="1"/>
      <c r="N584" s="1"/>
      <c r="Q584" s="1"/>
      <c r="R584" s="168"/>
      <c r="S584" s="168"/>
      <c r="T584" s="168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68"/>
      <c r="H585" s="168"/>
      <c r="K585" s="1"/>
      <c r="N585" s="1"/>
      <c r="Q585" s="1"/>
      <c r="R585" s="168"/>
      <c r="S585" s="168"/>
      <c r="T585" s="168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68"/>
      <c r="H586" s="168"/>
      <c r="K586" s="1"/>
      <c r="N586" s="1"/>
      <c r="Q586" s="1"/>
      <c r="R586" s="168"/>
      <c r="S586" s="168"/>
      <c r="T586" s="168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68"/>
      <c r="H587" s="168"/>
      <c r="K587" s="1"/>
      <c r="N587" s="1"/>
      <c r="Q587" s="1"/>
      <c r="R587" s="168"/>
      <c r="S587" s="168"/>
      <c r="T587" s="168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68"/>
      <c r="H588" s="168"/>
      <c r="K588" s="1"/>
      <c r="N588" s="1"/>
      <c r="Q588" s="1"/>
      <c r="R588" s="168"/>
      <c r="S588" s="168"/>
      <c r="T588" s="168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68"/>
      <c r="H589" s="168"/>
      <c r="K589" s="1"/>
      <c r="N589" s="1"/>
      <c r="Q589" s="1"/>
      <c r="R589" s="168"/>
      <c r="S589" s="168"/>
      <c r="T589" s="168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68"/>
      <c r="H590" s="168"/>
      <c r="K590" s="1"/>
      <c r="N590" s="1"/>
      <c r="Q590" s="1"/>
      <c r="R590" s="168"/>
      <c r="S590" s="168"/>
      <c r="T590" s="168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68"/>
      <c r="H591" s="168"/>
      <c r="K591" s="1"/>
      <c r="N591" s="1"/>
      <c r="Q591" s="1"/>
      <c r="R591" s="168"/>
      <c r="S591" s="168"/>
      <c r="T591" s="168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68"/>
      <c r="H592" s="168"/>
      <c r="K592" s="1"/>
      <c r="N592" s="1"/>
      <c r="Q592" s="1"/>
      <c r="R592" s="168"/>
      <c r="S592" s="168"/>
      <c r="T592" s="168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68"/>
      <c r="H593" s="168"/>
      <c r="K593" s="1"/>
      <c r="N593" s="1"/>
      <c r="Q593" s="1"/>
      <c r="R593" s="168"/>
      <c r="S593" s="168"/>
      <c r="T593" s="168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68"/>
      <c r="H594" s="168"/>
      <c r="K594" s="1"/>
      <c r="N594" s="1"/>
      <c r="Q594" s="1"/>
      <c r="R594" s="168"/>
      <c r="S594" s="168"/>
      <c r="T594" s="168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68"/>
      <c r="H595" s="168"/>
      <c r="K595" s="1"/>
      <c r="N595" s="1"/>
      <c r="Q595" s="1"/>
      <c r="R595" s="168"/>
      <c r="S595" s="168"/>
      <c r="T595" s="168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68"/>
      <c r="H596" s="168"/>
      <c r="K596" s="1"/>
      <c r="N596" s="1"/>
      <c r="Q596" s="1"/>
      <c r="R596" s="168"/>
      <c r="S596" s="168"/>
      <c r="T596" s="168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68"/>
      <c r="H597" s="168"/>
      <c r="K597" s="1"/>
      <c r="N597" s="1"/>
      <c r="Q597" s="1"/>
      <c r="R597" s="168"/>
      <c r="S597" s="168"/>
      <c r="T597" s="168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68"/>
      <c r="H598" s="168"/>
      <c r="K598" s="1"/>
      <c r="N598" s="1"/>
      <c r="Q598" s="1"/>
      <c r="R598" s="168"/>
      <c r="S598" s="168"/>
      <c r="T598" s="168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68"/>
      <c r="H599" s="168"/>
      <c r="K599" s="1"/>
      <c r="N599" s="1"/>
      <c r="Q599" s="1"/>
      <c r="R599" s="168"/>
      <c r="S599" s="168"/>
      <c r="T599" s="168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68"/>
      <c r="H600" s="168"/>
      <c r="K600" s="1"/>
      <c r="N600" s="1"/>
      <c r="Q600" s="1"/>
      <c r="R600" s="168"/>
      <c r="S600" s="168"/>
      <c r="T600" s="168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68"/>
      <c r="H601" s="168"/>
      <c r="K601" s="1"/>
      <c r="N601" s="1"/>
      <c r="Q601" s="1"/>
      <c r="R601" s="168"/>
      <c r="S601" s="168"/>
      <c r="T601" s="168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68"/>
      <c r="H602" s="168"/>
      <c r="K602" s="1"/>
      <c r="N602" s="1"/>
      <c r="Q602" s="1"/>
      <c r="R602" s="168"/>
      <c r="S602" s="168"/>
      <c r="T602" s="168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68"/>
      <c r="H603" s="168"/>
      <c r="K603" s="1"/>
      <c r="N603" s="1"/>
      <c r="Q603" s="1"/>
      <c r="R603" s="168"/>
      <c r="S603" s="168"/>
      <c r="T603" s="168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68"/>
      <c r="H604" s="168"/>
      <c r="K604" s="1"/>
      <c r="N604" s="1"/>
      <c r="Q604" s="1"/>
      <c r="R604" s="168"/>
      <c r="S604" s="168"/>
      <c r="T604" s="168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68"/>
      <c r="H605" s="168"/>
      <c r="K605" s="1"/>
      <c r="N605" s="1"/>
      <c r="Q605" s="1"/>
      <c r="R605" s="168"/>
      <c r="S605" s="168"/>
      <c r="T605" s="168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68"/>
      <c r="H606" s="168"/>
      <c r="K606" s="1"/>
      <c r="N606" s="1"/>
      <c r="Q606" s="1"/>
      <c r="R606" s="168"/>
      <c r="S606" s="168"/>
      <c r="T606" s="168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68"/>
      <c r="H607" s="168"/>
      <c r="K607" s="1"/>
      <c r="N607" s="1"/>
      <c r="Q607" s="1"/>
      <c r="R607" s="168"/>
      <c r="S607" s="168"/>
      <c r="T607" s="168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68"/>
      <c r="H608" s="168"/>
      <c r="K608" s="1"/>
      <c r="N608" s="1"/>
      <c r="Q608" s="1"/>
      <c r="R608" s="168"/>
      <c r="S608" s="168"/>
      <c r="T608" s="168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68"/>
      <c r="H609" s="168"/>
      <c r="K609" s="1"/>
      <c r="N609" s="1"/>
      <c r="Q609" s="1"/>
      <c r="R609" s="168"/>
      <c r="S609" s="168"/>
      <c r="T609" s="168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68"/>
      <c r="H610" s="168"/>
      <c r="K610" s="1"/>
      <c r="N610" s="1"/>
      <c r="Q610" s="1"/>
      <c r="R610" s="168"/>
      <c r="S610" s="168"/>
      <c r="T610" s="168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68"/>
      <c r="H611" s="168"/>
      <c r="K611" s="1"/>
      <c r="N611" s="1"/>
      <c r="Q611" s="1"/>
      <c r="R611" s="168"/>
      <c r="S611" s="168"/>
      <c r="T611" s="168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68"/>
      <c r="H612" s="168"/>
      <c r="K612" s="1"/>
      <c r="N612" s="1"/>
      <c r="Q612" s="1"/>
      <c r="R612" s="168"/>
      <c r="S612" s="168"/>
      <c r="T612" s="168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68"/>
      <c r="H613" s="168"/>
      <c r="K613" s="1"/>
      <c r="N613" s="1"/>
      <c r="Q613" s="1"/>
      <c r="R613" s="168"/>
      <c r="S613" s="168"/>
      <c r="T613" s="168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68"/>
      <c r="H614" s="168"/>
      <c r="K614" s="1"/>
      <c r="N614" s="1"/>
      <c r="Q614" s="1"/>
      <c r="R614" s="168"/>
      <c r="S614" s="168"/>
      <c r="T614" s="168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68"/>
      <c r="H615" s="168"/>
      <c r="K615" s="1"/>
      <c r="N615" s="1"/>
      <c r="Q615" s="1"/>
      <c r="R615" s="168"/>
      <c r="S615" s="168"/>
      <c r="T615" s="168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68"/>
      <c r="H616" s="168"/>
      <c r="K616" s="1"/>
      <c r="N616" s="1"/>
      <c r="Q616" s="1"/>
      <c r="R616" s="168"/>
      <c r="S616" s="168"/>
      <c r="T616" s="168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68"/>
      <c r="H617" s="168"/>
      <c r="K617" s="1"/>
      <c r="N617" s="1"/>
      <c r="Q617" s="1"/>
      <c r="R617" s="168"/>
      <c r="S617" s="168"/>
      <c r="T617" s="168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68"/>
      <c r="H618" s="168"/>
      <c r="K618" s="1"/>
      <c r="N618" s="1"/>
      <c r="Q618" s="1"/>
      <c r="R618" s="168"/>
      <c r="S618" s="168"/>
      <c r="T618" s="168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68"/>
      <c r="H619" s="168"/>
      <c r="K619" s="1"/>
      <c r="N619" s="1"/>
      <c r="Q619" s="1"/>
      <c r="R619" s="168"/>
      <c r="S619" s="168"/>
      <c r="T619" s="168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68"/>
      <c r="H620" s="168"/>
      <c r="K620" s="1"/>
      <c r="N620" s="1"/>
      <c r="Q620" s="1"/>
      <c r="R620" s="168"/>
      <c r="S620" s="168"/>
      <c r="T620" s="168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68"/>
      <c r="H621" s="168"/>
      <c r="K621" s="1"/>
      <c r="N621" s="1"/>
      <c r="Q621" s="1"/>
      <c r="R621" s="168"/>
      <c r="S621" s="168"/>
      <c r="T621" s="168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68"/>
      <c r="H622" s="168"/>
      <c r="K622" s="1"/>
      <c r="N622" s="1"/>
      <c r="Q622" s="1"/>
      <c r="R622" s="168"/>
      <c r="S622" s="168"/>
      <c r="T622" s="168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68"/>
      <c r="H623" s="168"/>
      <c r="K623" s="1"/>
      <c r="N623" s="1"/>
      <c r="Q623" s="1"/>
      <c r="R623" s="168"/>
      <c r="S623" s="168"/>
      <c r="T623" s="168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68"/>
      <c r="H624" s="168"/>
      <c r="K624" s="1"/>
      <c r="N624" s="1"/>
      <c r="Q624" s="1"/>
      <c r="R624" s="168"/>
      <c r="S624" s="168"/>
      <c r="T624" s="168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68"/>
      <c r="H625" s="168"/>
      <c r="K625" s="1"/>
      <c r="N625" s="1"/>
      <c r="Q625" s="1"/>
      <c r="R625" s="168"/>
      <c r="S625" s="168"/>
      <c r="T625" s="168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68"/>
      <c r="H626" s="168"/>
      <c r="K626" s="1"/>
      <c r="N626" s="1"/>
      <c r="Q626" s="1"/>
      <c r="R626" s="168"/>
      <c r="S626" s="168"/>
      <c r="T626" s="168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68"/>
      <c r="H627" s="168"/>
      <c r="K627" s="1"/>
      <c r="N627" s="1"/>
      <c r="Q627" s="1"/>
      <c r="R627" s="168"/>
      <c r="S627" s="168"/>
      <c r="T627" s="168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68"/>
      <c r="H628" s="168"/>
      <c r="K628" s="1"/>
      <c r="N628" s="1"/>
      <c r="Q628" s="1"/>
      <c r="R628" s="168"/>
      <c r="S628" s="168"/>
      <c r="T628" s="168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68"/>
      <c r="H629" s="168"/>
      <c r="K629" s="1"/>
      <c r="N629" s="1"/>
      <c r="Q629" s="1"/>
      <c r="R629" s="168"/>
      <c r="S629" s="168"/>
      <c r="T629" s="168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68"/>
      <c r="H630" s="168"/>
      <c r="K630" s="1"/>
      <c r="N630" s="1"/>
      <c r="Q630" s="1"/>
      <c r="R630" s="168"/>
      <c r="S630" s="168"/>
      <c r="T630" s="168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68"/>
      <c r="H631" s="168"/>
      <c r="K631" s="1"/>
      <c r="N631" s="1"/>
      <c r="Q631" s="1"/>
      <c r="R631" s="168"/>
      <c r="S631" s="168"/>
      <c r="T631" s="168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68"/>
      <c r="H632" s="168"/>
      <c r="K632" s="1"/>
      <c r="N632" s="1"/>
      <c r="Q632" s="1"/>
      <c r="R632" s="168"/>
      <c r="S632" s="168"/>
      <c r="T632" s="168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68"/>
      <c r="H633" s="168"/>
      <c r="K633" s="1"/>
      <c r="N633" s="1"/>
      <c r="Q633" s="1"/>
      <c r="R633" s="168"/>
      <c r="S633" s="168"/>
      <c r="T633" s="168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68"/>
      <c r="H634" s="168"/>
      <c r="K634" s="1"/>
      <c r="N634" s="1"/>
      <c r="Q634" s="1"/>
      <c r="R634" s="168"/>
      <c r="S634" s="168"/>
      <c r="T634" s="168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68"/>
      <c r="H635" s="168"/>
      <c r="K635" s="1"/>
      <c r="N635" s="1"/>
      <c r="Q635" s="1"/>
      <c r="R635" s="168"/>
      <c r="S635" s="168"/>
      <c r="T635" s="168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68"/>
      <c r="H636" s="168"/>
      <c r="K636" s="1"/>
      <c r="N636" s="1"/>
      <c r="Q636" s="1"/>
      <c r="R636" s="168"/>
      <c r="S636" s="168"/>
      <c r="T636" s="168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68"/>
      <c r="H637" s="168"/>
      <c r="K637" s="1"/>
      <c r="N637" s="1"/>
      <c r="Q637" s="1"/>
      <c r="R637" s="168"/>
      <c r="S637" s="168"/>
      <c r="T637" s="168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68"/>
      <c r="H638" s="168"/>
      <c r="K638" s="1"/>
      <c r="N638" s="1"/>
      <c r="Q638" s="1"/>
      <c r="R638" s="168"/>
      <c r="S638" s="168"/>
      <c r="T638" s="168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68"/>
      <c r="H639" s="168"/>
      <c r="K639" s="1"/>
      <c r="N639" s="1"/>
      <c r="Q639" s="1"/>
      <c r="R639" s="168"/>
      <c r="S639" s="168"/>
      <c r="T639" s="168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68"/>
      <c r="H640" s="168"/>
      <c r="K640" s="1"/>
      <c r="N640" s="1"/>
      <c r="Q640" s="1"/>
      <c r="R640" s="168"/>
      <c r="S640" s="168"/>
      <c r="T640" s="168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68"/>
      <c r="H641" s="168"/>
      <c r="K641" s="1"/>
      <c r="N641" s="1"/>
      <c r="Q641" s="1"/>
      <c r="R641" s="168"/>
      <c r="S641" s="168"/>
      <c r="T641" s="168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68"/>
      <c r="H642" s="168"/>
      <c r="K642" s="1"/>
      <c r="N642" s="1"/>
      <c r="Q642" s="1"/>
      <c r="R642" s="168"/>
      <c r="S642" s="168"/>
      <c r="T642" s="168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68"/>
      <c r="H643" s="168"/>
      <c r="K643" s="1"/>
      <c r="N643" s="1"/>
      <c r="Q643" s="1"/>
      <c r="R643" s="168"/>
      <c r="S643" s="168"/>
      <c r="T643" s="168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68"/>
      <c r="H644" s="168"/>
      <c r="K644" s="1"/>
      <c r="N644" s="1"/>
      <c r="Q644" s="1"/>
      <c r="R644" s="168"/>
      <c r="S644" s="168"/>
      <c r="T644" s="168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68"/>
      <c r="H645" s="168"/>
      <c r="K645" s="1"/>
      <c r="N645" s="1"/>
      <c r="Q645" s="1"/>
      <c r="R645" s="168"/>
      <c r="S645" s="168"/>
      <c r="T645" s="168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68"/>
      <c r="H646" s="168"/>
      <c r="K646" s="1"/>
      <c r="N646" s="1"/>
      <c r="Q646" s="1"/>
      <c r="R646" s="168"/>
      <c r="S646" s="168"/>
      <c r="T646" s="168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68"/>
      <c r="H647" s="168"/>
      <c r="K647" s="1"/>
      <c r="N647" s="1"/>
      <c r="Q647" s="1"/>
      <c r="R647" s="168"/>
      <c r="S647" s="168"/>
      <c r="T647" s="168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68"/>
      <c r="H648" s="168"/>
      <c r="K648" s="1"/>
      <c r="N648" s="1"/>
      <c r="Q648" s="1"/>
      <c r="R648" s="168"/>
      <c r="S648" s="168"/>
      <c r="T648" s="168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68"/>
      <c r="H649" s="168"/>
      <c r="K649" s="1"/>
      <c r="N649" s="1"/>
      <c r="Q649" s="1"/>
      <c r="R649" s="168"/>
      <c r="S649" s="168"/>
      <c r="T649" s="168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68"/>
      <c r="H650" s="168"/>
      <c r="K650" s="1"/>
      <c r="N650" s="1"/>
      <c r="Q650" s="1"/>
      <c r="R650" s="168"/>
      <c r="S650" s="168"/>
      <c r="T650" s="168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68"/>
      <c r="H651" s="168"/>
      <c r="K651" s="1"/>
      <c r="N651" s="1"/>
      <c r="Q651" s="1"/>
      <c r="R651" s="168"/>
      <c r="S651" s="168"/>
      <c r="T651" s="168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68"/>
      <c r="H652" s="168"/>
      <c r="K652" s="1"/>
      <c r="N652" s="1"/>
      <c r="Q652" s="1"/>
      <c r="R652" s="168"/>
      <c r="S652" s="168"/>
      <c r="T652" s="168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68"/>
      <c r="H653" s="168"/>
      <c r="K653" s="1"/>
      <c r="N653" s="1"/>
      <c r="Q653" s="1"/>
      <c r="R653" s="168"/>
      <c r="S653" s="168"/>
      <c r="T653" s="168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68"/>
      <c r="H654" s="168"/>
      <c r="K654" s="1"/>
      <c r="N654" s="1"/>
      <c r="Q654" s="1"/>
      <c r="R654" s="168"/>
      <c r="S654" s="168"/>
      <c r="T654" s="168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68"/>
      <c r="H655" s="168"/>
      <c r="K655" s="1"/>
      <c r="N655" s="1"/>
      <c r="Q655" s="1"/>
      <c r="R655" s="168"/>
      <c r="S655" s="168"/>
      <c r="T655" s="168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68"/>
      <c r="H656" s="168"/>
      <c r="K656" s="1"/>
      <c r="N656" s="1"/>
      <c r="Q656" s="1"/>
      <c r="R656" s="168"/>
      <c r="S656" s="168"/>
      <c r="T656" s="168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68"/>
      <c r="H657" s="168"/>
      <c r="K657" s="1"/>
      <c r="N657" s="1"/>
      <c r="Q657" s="1"/>
      <c r="R657" s="168"/>
      <c r="S657" s="168"/>
      <c r="T657" s="168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68"/>
      <c r="H658" s="168"/>
      <c r="K658" s="1"/>
      <c r="N658" s="1"/>
      <c r="Q658" s="1"/>
      <c r="R658" s="168"/>
      <c r="S658" s="168"/>
      <c r="T658" s="168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68"/>
      <c r="H659" s="168"/>
      <c r="K659" s="1"/>
      <c r="N659" s="1"/>
      <c r="Q659" s="1"/>
      <c r="R659" s="168"/>
      <c r="S659" s="168"/>
      <c r="T659" s="168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68"/>
      <c r="H660" s="168"/>
      <c r="K660" s="1"/>
      <c r="N660" s="1"/>
      <c r="Q660" s="1"/>
      <c r="R660" s="168"/>
      <c r="S660" s="168"/>
      <c r="T660" s="168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68"/>
      <c r="H661" s="168"/>
      <c r="K661" s="1"/>
      <c r="N661" s="1"/>
      <c r="Q661" s="1"/>
      <c r="R661" s="168"/>
      <c r="S661" s="168"/>
      <c r="T661" s="168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68"/>
      <c r="H662" s="168"/>
      <c r="K662" s="1"/>
      <c r="N662" s="1"/>
      <c r="Q662" s="1"/>
      <c r="R662" s="168"/>
      <c r="S662" s="168"/>
      <c r="T662" s="168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68"/>
      <c r="H663" s="168"/>
      <c r="K663" s="1"/>
      <c r="N663" s="1"/>
      <c r="Q663" s="1"/>
      <c r="R663" s="168"/>
      <c r="S663" s="168"/>
      <c r="T663" s="168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68"/>
      <c r="H664" s="168"/>
      <c r="K664" s="1"/>
      <c r="N664" s="1"/>
      <c r="Q664" s="1"/>
      <c r="R664" s="168"/>
      <c r="S664" s="168"/>
      <c r="T664" s="168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68"/>
      <c r="H665" s="168"/>
      <c r="K665" s="1"/>
      <c r="N665" s="1"/>
      <c r="Q665" s="1"/>
      <c r="R665" s="168"/>
      <c r="S665" s="168"/>
      <c r="T665" s="168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68"/>
      <c r="H666" s="168"/>
      <c r="K666" s="1"/>
      <c r="N666" s="1"/>
      <c r="Q666" s="1"/>
      <c r="R666" s="168"/>
      <c r="S666" s="168"/>
      <c r="T666" s="168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68"/>
      <c r="H667" s="168"/>
      <c r="K667" s="1"/>
      <c r="N667" s="1"/>
      <c r="Q667" s="1"/>
      <c r="R667" s="168"/>
      <c r="S667" s="168"/>
      <c r="T667" s="168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68"/>
      <c r="H668" s="168"/>
      <c r="K668" s="1"/>
      <c r="N668" s="1"/>
      <c r="Q668" s="1"/>
      <c r="R668" s="168"/>
      <c r="S668" s="168"/>
      <c r="T668" s="168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68"/>
      <c r="H669" s="168"/>
      <c r="K669" s="1"/>
      <c r="N669" s="1"/>
      <c r="Q669" s="1"/>
      <c r="R669" s="168"/>
      <c r="S669" s="168"/>
      <c r="T669" s="168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68"/>
      <c r="H670" s="168"/>
      <c r="K670" s="1"/>
      <c r="N670" s="1"/>
      <c r="Q670" s="1"/>
      <c r="R670" s="168"/>
      <c r="S670" s="168"/>
      <c r="T670" s="168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68"/>
      <c r="H671" s="168"/>
      <c r="K671" s="1"/>
      <c r="N671" s="1"/>
      <c r="Q671" s="1"/>
      <c r="R671" s="168"/>
      <c r="S671" s="168"/>
      <c r="T671" s="168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68"/>
      <c r="H672" s="168"/>
      <c r="K672" s="1"/>
      <c r="N672" s="1"/>
      <c r="Q672" s="1"/>
      <c r="R672" s="168"/>
      <c r="S672" s="168"/>
      <c r="T672" s="168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68"/>
      <c r="H673" s="168"/>
      <c r="K673" s="1"/>
      <c r="N673" s="1"/>
      <c r="Q673" s="1"/>
      <c r="R673" s="168"/>
      <c r="S673" s="168"/>
      <c r="T673" s="168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68"/>
      <c r="H674" s="168"/>
      <c r="K674" s="1"/>
      <c r="N674" s="1"/>
      <c r="Q674" s="1"/>
      <c r="R674" s="168"/>
      <c r="S674" s="168"/>
      <c r="T674" s="168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68"/>
      <c r="H675" s="168"/>
      <c r="K675" s="1"/>
      <c r="N675" s="1"/>
      <c r="Q675" s="1"/>
      <c r="R675" s="168"/>
      <c r="S675" s="168"/>
      <c r="T675" s="168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68"/>
      <c r="H676" s="168"/>
      <c r="K676" s="1"/>
      <c r="N676" s="1"/>
      <c r="Q676" s="1"/>
      <c r="R676" s="168"/>
      <c r="S676" s="168"/>
      <c r="T676" s="168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68"/>
      <c r="H677" s="168"/>
      <c r="K677" s="1"/>
      <c r="N677" s="1"/>
      <c r="Q677" s="1"/>
      <c r="R677" s="168"/>
      <c r="S677" s="168"/>
      <c r="T677" s="168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68"/>
      <c r="H678" s="168"/>
      <c r="K678" s="1"/>
      <c r="N678" s="1"/>
      <c r="Q678" s="1"/>
      <c r="R678" s="168"/>
      <c r="S678" s="168"/>
      <c r="T678" s="168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68"/>
      <c r="H679" s="168"/>
      <c r="K679" s="1"/>
      <c r="N679" s="1"/>
      <c r="Q679" s="1"/>
      <c r="R679" s="168"/>
      <c r="S679" s="168"/>
      <c r="T679" s="168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68"/>
      <c r="H680" s="168"/>
      <c r="K680" s="1"/>
      <c r="N680" s="1"/>
      <c r="Q680" s="1"/>
      <c r="R680" s="168"/>
      <c r="S680" s="168"/>
      <c r="T680" s="168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68"/>
      <c r="H681" s="168"/>
      <c r="K681" s="1"/>
      <c r="N681" s="1"/>
      <c r="Q681" s="1"/>
      <c r="R681" s="168"/>
      <c r="S681" s="168"/>
      <c r="T681" s="168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68"/>
      <c r="H682" s="168"/>
      <c r="K682" s="1"/>
      <c r="N682" s="1"/>
      <c r="Q682" s="1"/>
      <c r="R682" s="168"/>
      <c r="S682" s="168"/>
      <c r="T682" s="168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68"/>
      <c r="H683" s="168"/>
      <c r="K683" s="1"/>
      <c r="N683" s="1"/>
      <c r="Q683" s="1"/>
      <c r="R683" s="168"/>
      <c r="S683" s="168"/>
      <c r="T683" s="168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68"/>
      <c r="H684" s="168"/>
      <c r="K684" s="1"/>
      <c r="N684" s="1"/>
      <c r="Q684" s="1"/>
      <c r="R684" s="168"/>
      <c r="S684" s="168"/>
      <c r="T684" s="168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68"/>
      <c r="H685" s="168"/>
      <c r="K685" s="1"/>
      <c r="N685" s="1"/>
      <c r="Q685" s="1"/>
      <c r="R685" s="168"/>
      <c r="S685" s="168"/>
      <c r="T685" s="168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68"/>
      <c r="H686" s="168"/>
      <c r="K686" s="1"/>
      <c r="N686" s="1"/>
      <c r="Q686" s="1"/>
      <c r="R686" s="168"/>
      <c r="S686" s="168"/>
      <c r="T686" s="168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68"/>
      <c r="H687" s="168"/>
      <c r="K687" s="1"/>
      <c r="N687" s="1"/>
      <c r="Q687" s="1"/>
      <c r="R687" s="168"/>
      <c r="S687" s="168"/>
      <c r="T687" s="168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68"/>
      <c r="H688" s="168"/>
      <c r="K688" s="1"/>
      <c r="N688" s="1"/>
      <c r="Q688" s="1"/>
      <c r="R688" s="168"/>
      <c r="S688" s="168"/>
      <c r="T688" s="168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68"/>
      <c r="H689" s="168"/>
      <c r="K689" s="1"/>
      <c r="N689" s="1"/>
      <c r="Q689" s="1"/>
      <c r="R689" s="168"/>
      <c r="S689" s="168"/>
      <c r="T689" s="168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68"/>
      <c r="H690" s="168"/>
      <c r="K690" s="1"/>
      <c r="N690" s="1"/>
      <c r="Q690" s="1"/>
      <c r="R690" s="168"/>
      <c r="S690" s="168"/>
      <c r="T690" s="168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68"/>
      <c r="H691" s="168"/>
      <c r="K691" s="1"/>
      <c r="N691" s="1"/>
      <c r="Q691" s="1"/>
      <c r="R691" s="168"/>
      <c r="S691" s="168"/>
      <c r="T691" s="168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68"/>
      <c r="H692" s="168"/>
      <c r="K692" s="1"/>
      <c r="N692" s="1"/>
      <c r="Q692" s="1"/>
      <c r="R692" s="168"/>
      <c r="S692" s="168"/>
      <c r="T692" s="168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68"/>
      <c r="H693" s="168"/>
      <c r="K693" s="1"/>
      <c r="N693" s="1"/>
      <c r="Q693" s="1"/>
      <c r="R693" s="168"/>
      <c r="S693" s="168"/>
      <c r="T693" s="168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68"/>
      <c r="H694" s="168"/>
      <c r="K694" s="1"/>
      <c r="N694" s="1"/>
      <c r="Q694" s="1"/>
      <c r="R694" s="168"/>
      <c r="S694" s="168"/>
      <c r="T694" s="168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68"/>
      <c r="H695" s="168"/>
      <c r="K695" s="1"/>
      <c r="N695" s="1"/>
      <c r="Q695" s="1"/>
      <c r="R695" s="168"/>
      <c r="S695" s="168"/>
      <c r="T695" s="168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68"/>
      <c r="H696" s="168"/>
      <c r="K696" s="1"/>
      <c r="N696" s="1"/>
      <c r="Q696" s="1"/>
      <c r="R696" s="168"/>
      <c r="S696" s="168"/>
      <c r="T696" s="168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68"/>
      <c r="H697" s="168"/>
      <c r="K697" s="1"/>
      <c r="N697" s="1"/>
      <c r="Q697" s="1"/>
      <c r="R697" s="168"/>
      <c r="S697" s="168"/>
      <c r="T697" s="168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68"/>
      <c r="H698" s="168"/>
      <c r="K698" s="1"/>
      <c r="N698" s="1"/>
      <c r="Q698" s="1"/>
      <c r="R698" s="168"/>
      <c r="S698" s="168"/>
      <c r="T698" s="168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68"/>
      <c r="H699" s="168"/>
      <c r="K699" s="1"/>
      <c r="N699" s="1"/>
      <c r="Q699" s="1"/>
      <c r="R699" s="168"/>
      <c r="S699" s="168"/>
      <c r="T699" s="168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68"/>
      <c r="H700" s="168"/>
      <c r="K700" s="1"/>
      <c r="N700" s="1"/>
      <c r="Q700" s="1"/>
      <c r="R700" s="168"/>
      <c r="S700" s="168"/>
      <c r="T700" s="168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68"/>
      <c r="H701" s="168"/>
      <c r="K701" s="1"/>
      <c r="N701" s="1"/>
      <c r="Q701" s="1"/>
      <c r="R701" s="168"/>
      <c r="S701" s="168"/>
      <c r="T701" s="168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68"/>
      <c r="H702" s="168"/>
      <c r="K702" s="1"/>
      <c r="N702" s="1"/>
      <c r="Q702" s="1"/>
      <c r="R702" s="168"/>
      <c r="S702" s="168"/>
      <c r="T702" s="168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68"/>
      <c r="H703" s="168"/>
      <c r="K703" s="1"/>
      <c r="N703" s="1"/>
      <c r="Q703" s="1"/>
      <c r="R703" s="168"/>
      <c r="S703" s="168"/>
      <c r="T703" s="168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68"/>
      <c r="H704" s="168"/>
      <c r="K704" s="1"/>
      <c r="N704" s="1"/>
      <c r="Q704" s="1"/>
      <c r="R704" s="168"/>
      <c r="S704" s="168"/>
      <c r="T704" s="168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68"/>
      <c r="H705" s="168"/>
      <c r="K705" s="1"/>
      <c r="N705" s="1"/>
      <c r="Q705" s="1"/>
      <c r="R705" s="168"/>
      <c r="S705" s="168"/>
      <c r="T705" s="168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68"/>
      <c r="H706" s="168"/>
      <c r="K706" s="1"/>
      <c r="N706" s="1"/>
      <c r="Q706" s="1"/>
      <c r="R706" s="168"/>
      <c r="S706" s="168"/>
      <c r="T706" s="168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68"/>
      <c r="H707" s="168"/>
      <c r="K707" s="1"/>
      <c r="N707" s="1"/>
      <c r="Q707" s="1"/>
      <c r="R707" s="168"/>
      <c r="S707" s="168"/>
      <c r="T707" s="168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68"/>
      <c r="H708" s="168"/>
      <c r="K708" s="1"/>
      <c r="N708" s="1"/>
      <c r="Q708" s="1"/>
      <c r="R708" s="168"/>
      <c r="S708" s="168"/>
      <c r="T708" s="168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68"/>
      <c r="H709" s="168"/>
      <c r="K709" s="1"/>
      <c r="N709" s="1"/>
      <c r="Q709" s="1"/>
      <c r="R709" s="168"/>
      <c r="S709" s="168"/>
      <c r="T709" s="168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68"/>
      <c r="H710" s="168"/>
      <c r="K710" s="1"/>
      <c r="N710" s="1"/>
      <c r="Q710" s="1"/>
      <c r="R710" s="168"/>
      <c r="S710" s="168"/>
      <c r="T710" s="168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68"/>
      <c r="H711" s="168"/>
      <c r="K711" s="1"/>
      <c r="N711" s="1"/>
      <c r="Q711" s="1"/>
      <c r="R711" s="168"/>
      <c r="S711" s="168"/>
      <c r="T711" s="168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68"/>
      <c r="H712" s="168"/>
      <c r="K712" s="1"/>
      <c r="N712" s="1"/>
      <c r="Q712" s="1"/>
      <c r="R712" s="168"/>
      <c r="S712" s="168"/>
      <c r="T712" s="168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68"/>
      <c r="H713" s="168"/>
      <c r="K713" s="1"/>
      <c r="N713" s="1"/>
      <c r="Q713" s="1"/>
      <c r="R713" s="168"/>
      <c r="S713" s="168"/>
      <c r="T713" s="168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68"/>
      <c r="H714" s="168"/>
      <c r="K714" s="1"/>
      <c r="N714" s="1"/>
      <c r="Q714" s="1"/>
      <c r="R714" s="168"/>
      <c r="S714" s="168"/>
      <c r="T714" s="168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68"/>
      <c r="H715" s="168"/>
      <c r="K715" s="1"/>
      <c r="N715" s="1"/>
      <c r="Q715" s="1"/>
      <c r="R715" s="168"/>
      <c r="S715" s="168"/>
      <c r="T715" s="168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68"/>
      <c r="H716" s="168"/>
      <c r="K716" s="1"/>
      <c r="N716" s="1"/>
      <c r="Q716" s="1"/>
      <c r="R716" s="168"/>
      <c r="S716" s="168"/>
      <c r="T716" s="168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68"/>
      <c r="H717" s="168"/>
      <c r="K717" s="1"/>
      <c r="N717" s="1"/>
      <c r="Q717" s="1"/>
      <c r="R717" s="168"/>
      <c r="S717" s="168"/>
      <c r="T717" s="168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68"/>
      <c r="H718" s="168"/>
      <c r="K718" s="1"/>
      <c r="N718" s="1"/>
      <c r="Q718" s="1"/>
      <c r="R718" s="168"/>
      <c r="S718" s="168"/>
      <c r="T718" s="168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68"/>
      <c r="H719" s="168"/>
      <c r="K719" s="1"/>
      <c r="N719" s="1"/>
      <c r="Q719" s="1"/>
      <c r="R719" s="168"/>
      <c r="S719" s="168"/>
      <c r="T719" s="168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68"/>
      <c r="H720" s="168"/>
      <c r="K720" s="1"/>
      <c r="N720" s="1"/>
      <c r="Q720" s="1"/>
      <c r="R720" s="168"/>
      <c r="S720" s="168"/>
      <c r="T720" s="168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68"/>
      <c r="H721" s="168"/>
      <c r="K721" s="1"/>
      <c r="N721" s="1"/>
      <c r="Q721" s="1"/>
      <c r="R721" s="168"/>
      <c r="S721" s="168"/>
      <c r="T721" s="168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68"/>
      <c r="H722" s="168"/>
      <c r="K722" s="1"/>
      <c r="N722" s="1"/>
      <c r="Q722" s="1"/>
      <c r="R722" s="168"/>
      <c r="S722" s="168"/>
      <c r="T722" s="168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68"/>
      <c r="H723" s="168"/>
      <c r="K723" s="1"/>
      <c r="N723" s="1"/>
      <c r="Q723" s="1"/>
      <c r="R723" s="168"/>
      <c r="S723" s="168"/>
      <c r="T723" s="168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68"/>
      <c r="H724" s="168"/>
      <c r="K724" s="1"/>
      <c r="N724" s="1"/>
      <c r="Q724" s="1"/>
      <c r="R724" s="168"/>
      <c r="S724" s="168"/>
      <c r="T724" s="168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68"/>
      <c r="H725" s="168"/>
      <c r="K725" s="1"/>
      <c r="N725" s="1"/>
      <c r="Q725" s="1"/>
      <c r="R725" s="168"/>
      <c r="S725" s="168"/>
      <c r="T725" s="168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68"/>
      <c r="H726" s="168"/>
      <c r="K726" s="1"/>
      <c r="N726" s="1"/>
      <c r="Q726" s="1"/>
      <c r="R726" s="168"/>
      <c r="S726" s="168"/>
      <c r="T726" s="168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68"/>
      <c r="H727" s="168"/>
      <c r="K727" s="1"/>
      <c r="N727" s="1"/>
      <c r="Q727" s="1"/>
      <c r="R727" s="168"/>
      <c r="S727" s="168"/>
      <c r="T727" s="168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68"/>
      <c r="H728" s="168"/>
      <c r="K728" s="1"/>
      <c r="N728" s="1"/>
      <c r="Q728" s="1"/>
      <c r="R728" s="168"/>
      <c r="S728" s="168"/>
      <c r="T728" s="168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68"/>
      <c r="H729" s="168"/>
      <c r="K729" s="1"/>
      <c r="N729" s="1"/>
      <c r="Q729" s="1"/>
      <c r="R729" s="168"/>
      <c r="S729" s="168"/>
      <c r="T729" s="168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68"/>
      <c r="H730" s="168"/>
      <c r="K730" s="1"/>
      <c r="N730" s="1"/>
      <c r="Q730" s="1"/>
      <c r="R730" s="168"/>
      <c r="S730" s="168"/>
      <c r="T730" s="168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68"/>
      <c r="H731" s="168"/>
      <c r="K731" s="1"/>
      <c r="N731" s="1"/>
      <c r="Q731" s="1"/>
      <c r="R731" s="168"/>
      <c r="S731" s="168"/>
      <c r="T731" s="168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68"/>
      <c r="H732" s="168"/>
      <c r="K732" s="1"/>
      <c r="N732" s="1"/>
      <c r="Q732" s="1"/>
      <c r="R732" s="168"/>
      <c r="S732" s="168"/>
      <c r="T732" s="168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68"/>
      <c r="H733" s="168"/>
      <c r="K733" s="1"/>
      <c r="N733" s="1"/>
      <c r="Q733" s="1"/>
      <c r="R733" s="168"/>
      <c r="S733" s="168"/>
      <c r="T733" s="168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68"/>
      <c r="H734" s="168"/>
      <c r="K734" s="1"/>
      <c r="N734" s="1"/>
      <c r="Q734" s="1"/>
      <c r="R734" s="168"/>
      <c r="S734" s="168"/>
      <c r="T734" s="168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68"/>
      <c r="H735" s="168"/>
      <c r="K735" s="1"/>
      <c r="N735" s="1"/>
      <c r="Q735" s="1"/>
      <c r="R735" s="168"/>
      <c r="S735" s="168"/>
      <c r="T735" s="168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68"/>
      <c r="H736" s="168"/>
      <c r="K736" s="1"/>
      <c r="N736" s="1"/>
      <c r="Q736" s="1"/>
      <c r="R736" s="168"/>
      <c r="S736" s="168"/>
      <c r="T736" s="168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68"/>
      <c r="H737" s="168"/>
      <c r="K737" s="1"/>
      <c r="N737" s="1"/>
      <c r="Q737" s="1"/>
      <c r="R737" s="168"/>
      <c r="S737" s="168"/>
      <c r="T737" s="168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68"/>
      <c r="H738" s="168"/>
      <c r="K738" s="1"/>
      <c r="N738" s="1"/>
      <c r="Q738" s="1"/>
      <c r="R738" s="168"/>
      <c r="S738" s="168"/>
      <c r="T738" s="168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68"/>
      <c r="H739" s="168"/>
      <c r="K739" s="1"/>
      <c r="N739" s="1"/>
      <c r="Q739" s="1"/>
      <c r="R739" s="168"/>
      <c r="S739" s="168"/>
      <c r="T739" s="168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68"/>
      <c r="H740" s="168"/>
      <c r="K740" s="1"/>
      <c r="N740" s="1"/>
      <c r="Q740" s="1"/>
      <c r="R740" s="168"/>
      <c r="S740" s="168"/>
      <c r="T740" s="168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68"/>
      <c r="H741" s="168"/>
      <c r="K741" s="1"/>
      <c r="N741" s="1"/>
      <c r="Q741" s="1"/>
      <c r="R741" s="168"/>
      <c r="S741" s="168"/>
      <c r="T741" s="168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68"/>
      <c r="H742" s="168"/>
      <c r="K742" s="1"/>
      <c r="N742" s="1"/>
      <c r="Q742" s="1"/>
      <c r="R742" s="168"/>
      <c r="S742" s="168"/>
      <c r="T742" s="168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68"/>
      <c r="H743" s="168"/>
      <c r="K743" s="1"/>
      <c r="N743" s="1"/>
      <c r="Q743" s="1"/>
      <c r="R743" s="168"/>
      <c r="S743" s="168"/>
      <c r="T743" s="168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68"/>
      <c r="H744" s="168"/>
      <c r="K744" s="1"/>
      <c r="N744" s="1"/>
      <c r="Q744" s="1"/>
      <c r="R744" s="168"/>
      <c r="S744" s="168"/>
      <c r="T744" s="168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68"/>
      <c r="H745" s="168"/>
      <c r="K745" s="1"/>
      <c r="N745" s="1"/>
      <c r="Q745" s="1"/>
      <c r="R745" s="168"/>
      <c r="S745" s="168"/>
      <c r="T745" s="168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68"/>
      <c r="H746" s="168"/>
      <c r="K746" s="1"/>
      <c r="N746" s="1"/>
      <c r="Q746" s="1"/>
      <c r="R746" s="168"/>
      <c r="S746" s="168"/>
      <c r="T746" s="168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68"/>
      <c r="H747" s="168"/>
      <c r="K747" s="1"/>
      <c r="N747" s="1"/>
      <c r="Q747" s="1"/>
      <c r="R747" s="168"/>
      <c r="S747" s="168"/>
      <c r="T747" s="168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68"/>
      <c r="H748" s="168"/>
      <c r="K748" s="1"/>
      <c r="N748" s="1"/>
      <c r="Q748" s="1"/>
      <c r="R748" s="168"/>
      <c r="S748" s="168"/>
      <c r="T748" s="168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68"/>
      <c r="H749" s="168"/>
      <c r="K749" s="1"/>
      <c r="N749" s="1"/>
      <c r="Q749" s="1"/>
      <c r="R749" s="168"/>
      <c r="S749" s="168"/>
      <c r="T749" s="168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68"/>
      <c r="H750" s="168"/>
      <c r="K750" s="1"/>
      <c r="N750" s="1"/>
      <c r="Q750" s="1"/>
      <c r="R750" s="168"/>
      <c r="S750" s="168"/>
      <c r="T750" s="168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68"/>
      <c r="H751" s="168"/>
      <c r="K751" s="1"/>
      <c r="N751" s="1"/>
      <c r="Q751" s="1"/>
      <c r="R751" s="168"/>
      <c r="S751" s="168"/>
      <c r="T751" s="168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68"/>
      <c r="H752" s="168"/>
      <c r="K752" s="1"/>
      <c r="N752" s="1"/>
      <c r="Q752" s="1"/>
      <c r="R752" s="168"/>
      <c r="S752" s="168"/>
      <c r="T752" s="168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68"/>
      <c r="H753" s="168"/>
      <c r="K753" s="1"/>
      <c r="N753" s="1"/>
      <c r="Q753" s="1"/>
      <c r="R753" s="168"/>
      <c r="S753" s="168"/>
      <c r="T753" s="168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68"/>
      <c r="H754" s="168"/>
      <c r="K754" s="1"/>
      <c r="N754" s="1"/>
      <c r="Q754" s="1"/>
      <c r="R754" s="168"/>
      <c r="S754" s="168"/>
      <c r="T754" s="168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68"/>
      <c r="H755" s="168"/>
      <c r="K755" s="1"/>
      <c r="N755" s="1"/>
      <c r="Q755" s="1"/>
      <c r="R755" s="168"/>
      <c r="S755" s="168"/>
      <c r="T755" s="168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68"/>
      <c r="H756" s="168"/>
      <c r="K756" s="1"/>
      <c r="N756" s="1"/>
      <c r="Q756" s="1"/>
      <c r="R756" s="168"/>
      <c r="S756" s="168"/>
      <c r="T756" s="168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68"/>
      <c r="H757" s="168"/>
      <c r="K757" s="1"/>
      <c r="N757" s="1"/>
      <c r="Q757" s="1"/>
      <c r="R757" s="168"/>
      <c r="S757" s="168"/>
      <c r="T757" s="168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68"/>
      <c r="H758" s="168"/>
      <c r="K758" s="1"/>
      <c r="N758" s="1"/>
      <c r="Q758" s="1"/>
      <c r="R758" s="168"/>
      <c r="S758" s="168"/>
      <c r="T758" s="168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68"/>
      <c r="H759" s="168"/>
      <c r="K759" s="1"/>
      <c r="N759" s="1"/>
      <c r="Q759" s="1"/>
      <c r="R759" s="168"/>
      <c r="S759" s="168"/>
      <c r="T759" s="168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68"/>
      <c r="H760" s="168"/>
      <c r="K760" s="1"/>
      <c r="N760" s="1"/>
      <c r="Q760" s="1"/>
      <c r="R760" s="168"/>
      <c r="S760" s="168"/>
      <c r="T760" s="168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68"/>
      <c r="H761" s="168"/>
      <c r="K761" s="1"/>
      <c r="N761" s="1"/>
      <c r="Q761" s="1"/>
      <c r="R761" s="168"/>
      <c r="S761" s="168"/>
      <c r="T761" s="168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68"/>
      <c r="H762" s="168"/>
      <c r="K762" s="1"/>
      <c r="N762" s="1"/>
      <c r="Q762" s="1"/>
      <c r="R762" s="168"/>
      <c r="S762" s="168"/>
      <c r="T762" s="168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68"/>
      <c r="H763" s="168"/>
      <c r="K763" s="1"/>
      <c r="N763" s="1"/>
      <c r="Q763" s="1"/>
      <c r="R763" s="168"/>
      <c r="S763" s="168"/>
      <c r="T763" s="168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68"/>
      <c r="H764" s="168"/>
      <c r="K764" s="1"/>
      <c r="N764" s="1"/>
      <c r="Q764" s="1"/>
      <c r="R764" s="168"/>
      <c r="S764" s="168"/>
      <c r="T764" s="168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68"/>
      <c r="H765" s="168"/>
      <c r="K765" s="1"/>
      <c r="N765" s="1"/>
      <c r="Q765" s="1"/>
      <c r="R765" s="168"/>
      <c r="S765" s="168"/>
      <c r="T765" s="168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68"/>
      <c r="H766" s="168"/>
      <c r="K766" s="1"/>
      <c r="N766" s="1"/>
      <c r="Q766" s="1"/>
      <c r="R766" s="168"/>
      <c r="S766" s="168"/>
      <c r="T766" s="168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68"/>
      <c r="H767" s="168"/>
      <c r="K767" s="1"/>
      <c r="N767" s="1"/>
      <c r="Q767" s="1"/>
      <c r="R767" s="168"/>
      <c r="S767" s="168"/>
      <c r="T767" s="168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68"/>
      <c r="H768" s="168"/>
      <c r="K768" s="1"/>
      <c r="N768" s="1"/>
      <c r="Q768" s="1"/>
      <c r="R768" s="168"/>
      <c r="S768" s="168"/>
      <c r="T768" s="168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68"/>
      <c r="H769" s="168"/>
      <c r="K769" s="1"/>
      <c r="N769" s="1"/>
      <c r="Q769" s="1"/>
      <c r="R769" s="168"/>
      <c r="S769" s="168"/>
      <c r="T769" s="168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68"/>
      <c r="H770" s="168"/>
      <c r="K770" s="1"/>
      <c r="N770" s="1"/>
      <c r="Q770" s="1"/>
      <c r="R770" s="168"/>
      <c r="S770" s="168"/>
      <c r="T770" s="168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68"/>
      <c r="H771" s="168"/>
      <c r="K771" s="1"/>
      <c r="N771" s="1"/>
      <c r="Q771" s="1"/>
      <c r="R771" s="168"/>
      <c r="S771" s="168"/>
      <c r="T771" s="168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68"/>
      <c r="H772" s="168"/>
      <c r="K772" s="1"/>
      <c r="N772" s="1"/>
      <c r="Q772" s="1"/>
      <c r="R772" s="168"/>
      <c r="S772" s="168"/>
      <c r="T772" s="168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68"/>
      <c r="H773" s="168"/>
      <c r="K773" s="1"/>
      <c r="N773" s="1"/>
      <c r="Q773" s="1"/>
      <c r="R773" s="168"/>
      <c r="S773" s="168"/>
      <c r="T773" s="168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68"/>
      <c r="H774" s="168"/>
      <c r="K774" s="1"/>
      <c r="N774" s="1"/>
      <c r="Q774" s="1"/>
      <c r="R774" s="168"/>
      <c r="S774" s="168"/>
      <c r="T774" s="168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68"/>
      <c r="H775" s="168"/>
      <c r="K775" s="1"/>
      <c r="N775" s="1"/>
      <c r="Q775" s="1"/>
      <c r="R775" s="168"/>
      <c r="S775" s="168"/>
      <c r="T775" s="168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68"/>
      <c r="H776" s="168"/>
      <c r="K776" s="1"/>
      <c r="N776" s="1"/>
      <c r="Q776" s="1"/>
      <c r="R776" s="168"/>
      <c r="S776" s="168"/>
      <c r="T776" s="168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68"/>
      <c r="H777" s="168"/>
      <c r="K777" s="1"/>
      <c r="N777" s="1"/>
      <c r="Q777" s="1"/>
      <c r="R777" s="168"/>
      <c r="S777" s="168"/>
      <c r="T777" s="168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68"/>
      <c r="H778" s="168"/>
      <c r="K778" s="1"/>
      <c r="N778" s="1"/>
      <c r="Q778" s="1"/>
      <c r="R778" s="168"/>
      <c r="S778" s="168"/>
      <c r="T778" s="168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68"/>
      <c r="H779" s="168"/>
      <c r="K779" s="1"/>
      <c r="N779" s="1"/>
      <c r="Q779" s="1"/>
      <c r="R779" s="168"/>
      <c r="S779" s="168"/>
      <c r="T779" s="168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68"/>
      <c r="H780" s="168"/>
      <c r="K780" s="1"/>
      <c r="N780" s="1"/>
      <c r="Q780" s="1"/>
      <c r="R780" s="168"/>
      <c r="S780" s="168"/>
      <c r="T780" s="168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68"/>
      <c r="H781" s="168"/>
      <c r="K781" s="1"/>
      <c r="N781" s="1"/>
      <c r="Q781" s="1"/>
      <c r="R781" s="168"/>
      <c r="S781" s="168"/>
      <c r="T781" s="168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68"/>
      <c r="H782" s="168"/>
      <c r="K782" s="1"/>
      <c r="N782" s="1"/>
      <c r="Q782" s="1"/>
      <c r="R782" s="168"/>
      <c r="S782" s="168"/>
      <c r="T782" s="168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68"/>
      <c r="H783" s="168"/>
      <c r="K783" s="1"/>
      <c r="N783" s="1"/>
      <c r="Q783" s="1"/>
      <c r="R783" s="168"/>
      <c r="S783" s="168"/>
      <c r="T783" s="168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68"/>
      <c r="H784" s="168"/>
      <c r="K784" s="1"/>
      <c r="N784" s="1"/>
      <c r="Q784" s="1"/>
      <c r="R784" s="168"/>
      <c r="S784" s="168"/>
      <c r="T784" s="168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68"/>
      <c r="H785" s="168"/>
      <c r="K785" s="1"/>
      <c r="N785" s="1"/>
      <c r="Q785" s="1"/>
      <c r="R785" s="168"/>
      <c r="S785" s="168"/>
      <c r="T785" s="168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68"/>
      <c r="H786" s="168"/>
      <c r="K786" s="1"/>
      <c r="N786" s="1"/>
      <c r="Q786" s="1"/>
      <c r="R786" s="168"/>
      <c r="S786" s="168"/>
      <c r="T786" s="168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68"/>
      <c r="H787" s="168"/>
      <c r="K787" s="1"/>
      <c r="N787" s="1"/>
      <c r="Q787" s="1"/>
      <c r="R787" s="168"/>
      <c r="S787" s="168"/>
      <c r="T787" s="168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68"/>
      <c r="H788" s="168"/>
      <c r="K788" s="1"/>
      <c r="N788" s="1"/>
      <c r="Q788" s="1"/>
      <c r="R788" s="168"/>
      <c r="S788" s="168"/>
      <c r="T788" s="168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68"/>
      <c r="H789" s="168"/>
      <c r="K789" s="1"/>
      <c r="N789" s="1"/>
      <c r="Q789" s="1"/>
      <c r="R789" s="168"/>
      <c r="S789" s="168"/>
      <c r="T789" s="168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68"/>
      <c r="H790" s="168"/>
      <c r="K790" s="1"/>
      <c r="N790" s="1"/>
      <c r="Q790" s="1"/>
      <c r="R790" s="168"/>
      <c r="S790" s="168"/>
      <c r="T790" s="168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68"/>
      <c r="H791" s="168"/>
      <c r="K791" s="1"/>
      <c r="N791" s="1"/>
      <c r="Q791" s="1"/>
      <c r="R791" s="168"/>
      <c r="S791" s="168"/>
      <c r="T791" s="168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68"/>
      <c r="H792" s="168"/>
      <c r="K792" s="1"/>
      <c r="N792" s="1"/>
      <c r="Q792" s="1"/>
      <c r="R792" s="168"/>
      <c r="S792" s="168"/>
      <c r="T792" s="168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68"/>
      <c r="H793" s="168"/>
      <c r="K793" s="1"/>
      <c r="N793" s="1"/>
      <c r="Q793" s="1"/>
      <c r="R793" s="168"/>
      <c r="S793" s="168"/>
      <c r="T793" s="168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68"/>
      <c r="H794" s="168"/>
      <c r="K794" s="1"/>
      <c r="N794" s="1"/>
      <c r="Q794" s="1"/>
      <c r="R794" s="168"/>
      <c r="S794" s="168"/>
      <c r="T794" s="168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68"/>
      <c r="H795" s="168"/>
      <c r="K795" s="1"/>
      <c r="N795" s="1"/>
      <c r="Q795" s="1"/>
      <c r="R795" s="168"/>
      <c r="S795" s="168"/>
      <c r="T795" s="168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68"/>
      <c r="H796" s="168"/>
      <c r="K796" s="1"/>
      <c r="N796" s="1"/>
      <c r="Q796" s="1"/>
      <c r="R796" s="168"/>
      <c r="S796" s="168"/>
      <c r="T796" s="168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68"/>
      <c r="H797" s="168"/>
      <c r="K797" s="1"/>
      <c r="N797" s="1"/>
      <c r="Q797" s="1"/>
      <c r="R797" s="168"/>
      <c r="S797" s="168"/>
      <c r="T797" s="168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68"/>
      <c r="H798" s="168"/>
      <c r="K798" s="1"/>
      <c r="N798" s="1"/>
      <c r="Q798" s="1"/>
      <c r="R798" s="168"/>
      <c r="S798" s="168"/>
      <c r="T798" s="168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68"/>
      <c r="H799" s="168"/>
      <c r="K799" s="1"/>
      <c r="N799" s="1"/>
      <c r="Q799" s="1"/>
      <c r="R799" s="168"/>
      <c r="S799" s="168"/>
      <c r="T799" s="168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68"/>
      <c r="H800" s="168"/>
      <c r="K800" s="1"/>
      <c r="N800" s="1"/>
      <c r="Q800" s="1"/>
      <c r="R800" s="168"/>
      <c r="S800" s="168"/>
      <c r="T800" s="168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68"/>
      <c r="H801" s="168"/>
      <c r="K801" s="1"/>
      <c r="N801" s="1"/>
      <c r="Q801" s="1"/>
      <c r="R801" s="168"/>
      <c r="S801" s="168"/>
      <c r="T801" s="168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68"/>
      <c r="H802" s="168"/>
      <c r="K802" s="1"/>
      <c r="N802" s="1"/>
      <c r="Q802" s="1"/>
      <c r="R802" s="168"/>
      <c r="S802" s="168"/>
      <c r="T802" s="168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68"/>
      <c r="H803" s="168"/>
      <c r="K803" s="1"/>
      <c r="N803" s="1"/>
      <c r="Q803" s="1"/>
      <c r="R803" s="168"/>
      <c r="S803" s="168"/>
      <c r="T803" s="168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68"/>
      <c r="H804" s="168"/>
      <c r="K804" s="1"/>
      <c r="N804" s="1"/>
      <c r="Q804" s="1"/>
      <c r="R804" s="168"/>
      <c r="S804" s="168"/>
      <c r="T804" s="168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68"/>
      <c r="H805" s="168"/>
      <c r="K805" s="1"/>
      <c r="N805" s="1"/>
      <c r="Q805" s="1"/>
      <c r="R805" s="168"/>
      <c r="S805" s="168"/>
      <c r="T805" s="168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68"/>
      <c r="H806" s="168"/>
      <c r="K806" s="1"/>
      <c r="N806" s="1"/>
      <c r="Q806" s="1"/>
      <c r="R806" s="168"/>
      <c r="S806" s="168"/>
      <c r="T806" s="168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68"/>
      <c r="H807" s="168"/>
      <c r="K807" s="1"/>
      <c r="N807" s="1"/>
      <c r="Q807" s="1"/>
      <c r="R807" s="168"/>
      <c r="S807" s="168"/>
      <c r="T807" s="168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68"/>
      <c r="H808" s="168"/>
      <c r="K808" s="1"/>
      <c r="N808" s="1"/>
      <c r="Q808" s="1"/>
      <c r="R808" s="168"/>
      <c r="S808" s="168"/>
      <c r="T808" s="168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68"/>
      <c r="H809" s="168"/>
      <c r="K809" s="1"/>
      <c r="N809" s="1"/>
      <c r="Q809" s="1"/>
      <c r="R809" s="168"/>
      <c r="S809" s="168"/>
      <c r="T809" s="168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68"/>
      <c r="H810" s="168"/>
      <c r="K810" s="1"/>
      <c r="N810" s="1"/>
      <c r="Q810" s="1"/>
      <c r="R810" s="168"/>
      <c r="S810" s="168"/>
      <c r="T810" s="168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68"/>
      <c r="H811" s="168"/>
      <c r="K811" s="1"/>
      <c r="N811" s="1"/>
      <c r="Q811" s="1"/>
      <c r="R811" s="168"/>
      <c r="S811" s="168"/>
      <c r="T811" s="168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68"/>
      <c r="H812" s="168"/>
      <c r="K812" s="1"/>
      <c r="N812" s="1"/>
      <c r="Q812" s="1"/>
      <c r="R812" s="168"/>
      <c r="S812" s="168"/>
      <c r="T812" s="168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68"/>
      <c r="H813" s="168"/>
      <c r="K813" s="1"/>
      <c r="N813" s="1"/>
      <c r="Q813" s="1"/>
      <c r="R813" s="168"/>
      <c r="S813" s="168"/>
      <c r="T813" s="168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68"/>
      <c r="H814" s="168"/>
      <c r="K814" s="1"/>
      <c r="N814" s="1"/>
      <c r="Q814" s="1"/>
      <c r="R814" s="168"/>
      <c r="S814" s="168"/>
      <c r="T814" s="168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68"/>
      <c r="H815" s="168"/>
      <c r="K815" s="1"/>
      <c r="N815" s="1"/>
      <c r="Q815" s="1"/>
      <c r="R815" s="168"/>
      <c r="S815" s="168"/>
      <c r="T815" s="168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68"/>
      <c r="H816" s="168"/>
      <c r="K816" s="1"/>
      <c r="N816" s="1"/>
      <c r="Q816" s="1"/>
      <c r="R816" s="168"/>
      <c r="S816" s="168"/>
      <c r="T816" s="168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68"/>
      <c r="H817" s="168"/>
      <c r="K817" s="1"/>
      <c r="N817" s="1"/>
      <c r="Q817" s="1"/>
      <c r="R817" s="168"/>
      <c r="S817" s="168"/>
      <c r="T817" s="168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68"/>
      <c r="H818" s="168"/>
      <c r="K818" s="1"/>
      <c r="N818" s="1"/>
      <c r="Q818" s="1"/>
      <c r="R818" s="168"/>
      <c r="S818" s="168"/>
      <c r="T818" s="168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68"/>
      <c r="H819" s="168"/>
      <c r="K819" s="1"/>
      <c r="N819" s="1"/>
      <c r="Q819" s="1"/>
      <c r="R819" s="168"/>
      <c r="S819" s="168"/>
      <c r="T819" s="168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68"/>
      <c r="H820" s="168"/>
      <c r="K820" s="1"/>
      <c r="N820" s="1"/>
      <c r="Q820" s="1"/>
      <c r="R820" s="168"/>
      <c r="S820" s="168"/>
      <c r="T820" s="168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68"/>
      <c r="H821" s="168"/>
      <c r="K821" s="1"/>
      <c r="N821" s="1"/>
      <c r="Q821" s="1"/>
      <c r="R821" s="168"/>
      <c r="S821" s="168"/>
      <c r="T821" s="168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68"/>
      <c r="H822" s="168"/>
      <c r="K822" s="1"/>
      <c r="N822" s="1"/>
      <c r="Q822" s="1"/>
      <c r="R822" s="168"/>
      <c r="S822" s="168"/>
      <c r="T822" s="168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68"/>
      <c r="H823" s="168"/>
      <c r="K823" s="1"/>
      <c r="N823" s="1"/>
      <c r="Q823" s="1"/>
      <c r="R823" s="168"/>
      <c r="S823" s="168"/>
      <c r="T823" s="168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68"/>
      <c r="H824" s="168"/>
      <c r="K824" s="1"/>
      <c r="N824" s="1"/>
      <c r="Q824" s="1"/>
      <c r="R824" s="168"/>
      <c r="S824" s="168"/>
      <c r="T824" s="168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68"/>
      <c r="H825" s="168"/>
      <c r="K825" s="1"/>
      <c r="N825" s="1"/>
      <c r="Q825" s="1"/>
      <c r="R825" s="168"/>
      <c r="S825" s="168"/>
      <c r="T825" s="168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68"/>
      <c r="H826" s="168"/>
      <c r="K826" s="1"/>
      <c r="N826" s="1"/>
      <c r="Q826" s="1"/>
      <c r="R826" s="168"/>
      <c r="S826" s="168"/>
      <c r="T826" s="168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68"/>
      <c r="H827" s="168"/>
      <c r="K827" s="1"/>
      <c r="N827" s="1"/>
      <c r="Q827" s="1"/>
      <c r="R827" s="168"/>
      <c r="S827" s="168"/>
      <c r="T827" s="168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68"/>
      <c r="H828" s="168"/>
      <c r="K828" s="1"/>
      <c r="N828" s="1"/>
      <c r="Q828" s="1"/>
      <c r="R828" s="168"/>
      <c r="S828" s="168"/>
      <c r="T828" s="168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68"/>
      <c r="H829" s="168"/>
      <c r="K829" s="1"/>
      <c r="N829" s="1"/>
      <c r="Q829" s="1"/>
      <c r="R829" s="168"/>
      <c r="S829" s="168"/>
      <c r="T829" s="168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68"/>
      <c r="H830" s="168"/>
      <c r="K830" s="1"/>
      <c r="N830" s="1"/>
      <c r="Q830" s="1"/>
      <c r="R830" s="168"/>
      <c r="S830" s="168"/>
      <c r="T830" s="168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68"/>
      <c r="H831" s="168"/>
      <c r="K831" s="1"/>
      <c r="N831" s="1"/>
      <c r="Q831" s="1"/>
      <c r="R831" s="168"/>
      <c r="S831" s="168"/>
      <c r="T831" s="168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68"/>
      <c r="H832" s="168"/>
      <c r="K832" s="1"/>
      <c r="N832" s="1"/>
      <c r="Q832" s="1"/>
      <c r="R832" s="168"/>
      <c r="S832" s="168"/>
      <c r="T832" s="168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68"/>
      <c r="H833" s="168"/>
      <c r="K833" s="1"/>
      <c r="N833" s="1"/>
      <c r="Q833" s="1"/>
      <c r="R833" s="168"/>
      <c r="S833" s="168"/>
      <c r="T833" s="168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68"/>
      <c r="H834" s="168"/>
      <c r="K834" s="1"/>
      <c r="N834" s="1"/>
      <c r="Q834" s="1"/>
      <c r="R834" s="168"/>
      <c r="S834" s="168"/>
      <c r="T834" s="168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68"/>
      <c r="H835" s="168"/>
      <c r="K835" s="1"/>
      <c r="N835" s="1"/>
      <c r="Q835" s="1"/>
      <c r="R835" s="168"/>
      <c r="S835" s="168"/>
      <c r="T835" s="168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68"/>
      <c r="H836" s="168"/>
      <c r="K836" s="1"/>
      <c r="N836" s="1"/>
      <c r="Q836" s="1"/>
      <c r="R836" s="168"/>
      <c r="S836" s="168"/>
      <c r="T836" s="168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68"/>
      <c r="H837" s="168"/>
      <c r="K837" s="1"/>
      <c r="N837" s="1"/>
      <c r="Q837" s="1"/>
      <c r="R837" s="168"/>
      <c r="S837" s="168"/>
      <c r="T837" s="168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68"/>
      <c r="H838" s="168"/>
      <c r="K838" s="1"/>
      <c r="N838" s="1"/>
      <c r="Q838" s="1"/>
      <c r="R838" s="168"/>
      <c r="S838" s="168"/>
      <c r="T838" s="168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68"/>
      <c r="H839" s="168"/>
      <c r="K839" s="1"/>
      <c r="N839" s="1"/>
      <c r="Q839" s="1"/>
      <c r="R839" s="168"/>
      <c r="S839" s="168"/>
      <c r="T839" s="168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68"/>
      <c r="H840" s="168"/>
      <c r="K840" s="1"/>
      <c r="N840" s="1"/>
      <c r="Q840" s="1"/>
      <c r="R840" s="168"/>
      <c r="S840" s="168"/>
      <c r="T840" s="168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68"/>
      <c r="H841" s="168"/>
      <c r="K841" s="1"/>
      <c r="N841" s="1"/>
      <c r="Q841" s="1"/>
      <c r="R841" s="168"/>
      <c r="S841" s="168"/>
      <c r="T841" s="168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68"/>
      <c r="H842" s="168"/>
      <c r="K842" s="1"/>
      <c r="N842" s="1"/>
      <c r="Q842" s="1"/>
      <c r="R842" s="168"/>
      <c r="S842" s="168"/>
      <c r="T842" s="168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68"/>
      <c r="H843" s="168"/>
      <c r="K843" s="1"/>
      <c r="N843" s="1"/>
      <c r="Q843" s="1"/>
      <c r="R843" s="168"/>
      <c r="S843" s="168"/>
      <c r="T843" s="168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68"/>
      <c r="H844" s="168"/>
      <c r="K844" s="1"/>
      <c r="N844" s="1"/>
      <c r="Q844" s="1"/>
      <c r="R844" s="168"/>
      <c r="S844" s="168"/>
      <c r="T844" s="168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68"/>
      <c r="H845" s="168"/>
      <c r="K845" s="1"/>
      <c r="N845" s="1"/>
      <c r="Q845" s="1"/>
      <c r="R845" s="168"/>
      <c r="S845" s="168"/>
      <c r="T845" s="168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68"/>
      <c r="H846" s="168"/>
      <c r="K846" s="1"/>
      <c r="N846" s="1"/>
      <c r="Q846" s="1"/>
      <c r="R846" s="168"/>
      <c r="S846" s="168"/>
      <c r="T846" s="168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68"/>
      <c r="H847" s="168"/>
      <c r="K847" s="1"/>
      <c r="N847" s="1"/>
      <c r="Q847" s="1"/>
      <c r="R847" s="168"/>
      <c r="S847" s="168"/>
      <c r="T847" s="168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68"/>
      <c r="H848" s="168"/>
      <c r="K848" s="1"/>
      <c r="N848" s="1"/>
      <c r="Q848" s="1"/>
      <c r="R848" s="168"/>
      <c r="S848" s="168"/>
      <c r="T848" s="168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68"/>
      <c r="H849" s="168"/>
      <c r="K849" s="1"/>
      <c r="N849" s="1"/>
      <c r="Q849" s="1"/>
      <c r="R849" s="168"/>
      <c r="S849" s="168"/>
      <c r="T849" s="168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68"/>
      <c r="H850" s="168"/>
      <c r="K850" s="1"/>
      <c r="N850" s="1"/>
      <c r="Q850" s="1"/>
      <c r="R850" s="168"/>
      <c r="S850" s="168"/>
      <c r="T850" s="168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68"/>
      <c r="H851" s="168"/>
      <c r="K851" s="1"/>
      <c r="N851" s="1"/>
      <c r="Q851" s="1"/>
      <c r="R851" s="168"/>
      <c r="S851" s="168"/>
      <c r="T851" s="168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68"/>
      <c r="H852" s="168"/>
      <c r="K852" s="1"/>
      <c r="N852" s="1"/>
      <c r="Q852" s="1"/>
      <c r="R852" s="168"/>
      <c r="S852" s="168"/>
      <c r="T852" s="168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68"/>
      <c r="H853" s="168"/>
      <c r="K853" s="1"/>
      <c r="N853" s="1"/>
      <c r="Q853" s="1"/>
      <c r="R853" s="168"/>
      <c r="S853" s="168"/>
      <c r="T853" s="168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68"/>
      <c r="H854" s="168"/>
      <c r="K854" s="1"/>
      <c r="N854" s="1"/>
      <c r="Q854" s="1"/>
      <c r="R854" s="168"/>
      <c r="S854" s="168"/>
      <c r="T854" s="168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68"/>
      <c r="H855" s="168"/>
      <c r="K855" s="1"/>
      <c r="N855" s="1"/>
      <c r="Q855" s="1"/>
      <c r="R855" s="168"/>
      <c r="S855" s="168"/>
      <c r="T855" s="168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68"/>
      <c r="H856" s="168"/>
      <c r="K856" s="1"/>
      <c r="N856" s="1"/>
      <c r="Q856" s="1"/>
      <c r="R856" s="168"/>
      <c r="S856" s="168"/>
      <c r="T856" s="168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68"/>
      <c r="H857" s="168"/>
      <c r="K857" s="1"/>
      <c r="N857" s="1"/>
      <c r="Q857" s="1"/>
      <c r="R857" s="168"/>
      <c r="S857" s="168"/>
      <c r="T857" s="168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68"/>
      <c r="H858" s="168"/>
      <c r="K858" s="1"/>
      <c r="N858" s="1"/>
      <c r="Q858" s="1"/>
      <c r="R858" s="168"/>
      <c r="S858" s="168"/>
      <c r="T858" s="168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68"/>
      <c r="H859" s="168"/>
      <c r="K859" s="1"/>
      <c r="N859" s="1"/>
      <c r="Q859" s="1"/>
      <c r="R859" s="168"/>
      <c r="S859" s="168"/>
      <c r="T859" s="168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68"/>
      <c r="H860" s="168"/>
      <c r="K860" s="1"/>
      <c r="N860" s="1"/>
      <c r="Q860" s="1"/>
      <c r="R860" s="168"/>
      <c r="S860" s="168"/>
      <c r="T860" s="168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68"/>
      <c r="H861" s="168"/>
      <c r="K861" s="1"/>
      <c r="N861" s="1"/>
      <c r="Q861" s="1"/>
      <c r="R861" s="168"/>
      <c r="S861" s="168"/>
      <c r="T861" s="168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68"/>
      <c r="H862" s="168"/>
      <c r="K862" s="1"/>
      <c r="N862" s="1"/>
      <c r="Q862" s="1"/>
      <c r="R862" s="168"/>
      <c r="S862" s="168"/>
      <c r="T862" s="168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68"/>
      <c r="H863" s="168"/>
      <c r="K863" s="1"/>
      <c r="N863" s="1"/>
      <c r="Q863" s="1"/>
      <c r="R863" s="168"/>
      <c r="S863" s="168"/>
      <c r="T863" s="168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68"/>
      <c r="H864" s="168"/>
      <c r="K864" s="1"/>
      <c r="N864" s="1"/>
      <c r="Q864" s="1"/>
      <c r="R864" s="168"/>
      <c r="S864" s="168"/>
      <c r="T864" s="168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68"/>
      <c r="H865" s="168"/>
      <c r="K865" s="1"/>
      <c r="N865" s="1"/>
      <c r="Q865" s="1"/>
      <c r="R865" s="168"/>
      <c r="S865" s="168"/>
      <c r="T865" s="168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68"/>
      <c r="H866" s="168"/>
      <c r="K866" s="1"/>
      <c r="N866" s="1"/>
      <c r="Q866" s="1"/>
      <c r="R866" s="168"/>
      <c r="S866" s="168"/>
      <c r="T866" s="168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68"/>
      <c r="H867" s="168"/>
      <c r="K867" s="1"/>
      <c r="N867" s="1"/>
      <c r="Q867" s="1"/>
      <c r="R867" s="168"/>
      <c r="S867" s="168"/>
      <c r="T867" s="168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68"/>
      <c r="H868" s="168"/>
      <c r="K868" s="1"/>
      <c r="N868" s="1"/>
      <c r="Q868" s="1"/>
      <c r="R868" s="168"/>
      <c r="S868" s="168"/>
      <c r="T868" s="168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68"/>
      <c r="H869" s="168"/>
      <c r="K869" s="1"/>
      <c r="N869" s="1"/>
      <c r="Q869" s="1"/>
      <c r="R869" s="168"/>
      <c r="S869" s="168"/>
      <c r="T869" s="168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68"/>
      <c r="H870" s="168"/>
      <c r="K870" s="1"/>
      <c r="N870" s="1"/>
      <c r="Q870" s="1"/>
      <c r="R870" s="168"/>
      <c r="S870" s="168"/>
      <c r="T870" s="168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68"/>
      <c r="H871" s="168"/>
      <c r="K871" s="1"/>
      <c r="N871" s="1"/>
      <c r="Q871" s="1"/>
      <c r="R871" s="168"/>
      <c r="S871" s="168"/>
      <c r="T871" s="168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68"/>
      <c r="H872" s="168"/>
      <c r="K872" s="1"/>
      <c r="N872" s="1"/>
      <c r="Q872" s="1"/>
      <c r="R872" s="168"/>
      <c r="S872" s="168"/>
      <c r="T872" s="168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68"/>
      <c r="H873" s="168"/>
      <c r="K873" s="1"/>
      <c r="N873" s="1"/>
      <c r="Q873" s="1"/>
      <c r="R873" s="168"/>
      <c r="S873" s="168"/>
      <c r="T873" s="168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68"/>
      <c r="H874" s="168"/>
      <c r="K874" s="1"/>
      <c r="N874" s="1"/>
      <c r="Q874" s="1"/>
      <c r="R874" s="168"/>
      <c r="S874" s="168"/>
      <c r="T874" s="168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68"/>
      <c r="H875" s="168"/>
      <c r="K875" s="1"/>
      <c r="N875" s="1"/>
      <c r="Q875" s="1"/>
      <c r="R875" s="168"/>
      <c r="S875" s="168"/>
      <c r="T875" s="168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68"/>
      <c r="H876" s="168"/>
      <c r="K876" s="1"/>
      <c r="N876" s="1"/>
      <c r="Q876" s="1"/>
      <c r="R876" s="168"/>
      <c r="S876" s="168"/>
      <c r="T876" s="168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68"/>
      <c r="H877" s="168"/>
      <c r="K877" s="1"/>
      <c r="N877" s="1"/>
      <c r="Q877" s="1"/>
      <c r="R877" s="168"/>
      <c r="S877" s="168"/>
      <c r="T877" s="168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68"/>
      <c r="H878" s="168"/>
      <c r="K878" s="1"/>
      <c r="N878" s="1"/>
      <c r="Q878" s="1"/>
      <c r="R878" s="168"/>
      <c r="S878" s="168"/>
      <c r="T878" s="168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68"/>
      <c r="H879" s="168"/>
      <c r="K879" s="1"/>
      <c r="N879" s="1"/>
      <c r="Q879" s="1"/>
      <c r="R879" s="168"/>
      <c r="S879" s="168"/>
      <c r="T879" s="168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68"/>
      <c r="H880" s="168"/>
      <c r="K880" s="1"/>
      <c r="N880" s="1"/>
      <c r="Q880" s="1"/>
      <c r="R880" s="168"/>
      <c r="S880" s="168"/>
      <c r="T880" s="168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68"/>
      <c r="H881" s="168"/>
      <c r="K881" s="1"/>
      <c r="N881" s="1"/>
      <c r="Q881" s="1"/>
      <c r="R881" s="168"/>
      <c r="S881" s="168"/>
      <c r="T881" s="168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68"/>
      <c r="H882" s="168"/>
      <c r="K882" s="1"/>
      <c r="N882" s="1"/>
      <c r="Q882" s="1"/>
      <c r="R882" s="168"/>
      <c r="S882" s="168"/>
      <c r="T882" s="168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68"/>
      <c r="H883" s="168"/>
      <c r="K883" s="1"/>
      <c r="N883" s="1"/>
      <c r="Q883" s="1"/>
      <c r="R883" s="168"/>
      <c r="S883" s="168"/>
      <c r="T883" s="168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68"/>
      <c r="H884" s="168"/>
      <c r="K884" s="1"/>
      <c r="N884" s="1"/>
      <c r="Q884" s="1"/>
      <c r="R884" s="168"/>
      <c r="S884" s="168"/>
      <c r="T884" s="168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68"/>
      <c r="H885" s="168"/>
      <c r="K885" s="1"/>
      <c r="N885" s="1"/>
      <c r="Q885" s="1"/>
      <c r="R885" s="168"/>
      <c r="S885" s="168"/>
      <c r="T885" s="168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68"/>
      <c r="H886" s="168"/>
      <c r="K886" s="1"/>
      <c r="N886" s="1"/>
      <c r="Q886" s="1"/>
      <c r="R886" s="168"/>
      <c r="S886" s="168"/>
      <c r="T886" s="168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68"/>
      <c r="H887" s="168"/>
      <c r="K887" s="1"/>
      <c r="N887" s="1"/>
      <c r="Q887" s="1"/>
      <c r="R887" s="168"/>
      <c r="S887" s="168"/>
      <c r="T887" s="168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68"/>
      <c r="H888" s="168"/>
      <c r="K888" s="1"/>
      <c r="N888" s="1"/>
      <c r="Q888" s="1"/>
      <c r="R888" s="168"/>
      <c r="S888" s="168"/>
      <c r="T888" s="168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68"/>
      <c r="H889" s="168"/>
      <c r="K889" s="1"/>
      <c r="N889" s="1"/>
      <c r="Q889" s="1"/>
      <c r="R889" s="168"/>
      <c r="S889" s="168"/>
      <c r="T889" s="168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68"/>
      <c r="H890" s="168"/>
      <c r="K890" s="1"/>
      <c r="N890" s="1"/>
      <c r="Q890" s="1"/>
      <c r="R890" s="168"/>
      <c r="S890" s="168"/>
      <c r="T890" s="168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68"/>
      <c r="H891" s="168"/>
      <c r="K891" s="1"/>
      <c r="N891" s="1"/>
      <c r="Q891" s="1"/>
      <c r="R891" s="168"/>
      <c r="S891" s="168"/>
      <c r="T891" s="168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68"/>
      <c r="H892" s="168"/>
      <c r="K892" s="1"/>
      <c r="N892" s="1"/>
      <c r="Q892" s="1"/>
      <c r="R892" s="168"/>
      <c r="S892" s="168"/>
      <c r="T892" s="168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68"/>
      <c r="H893" s="168"/>
      <c r="K893" s="1"/>
      <c r="N893" s="1"/>
      <c r="Q893" s="1"/>
      <c r="R893" s="168"/>
      <c r="S893" s="168"/>
      <c r="T893" s="168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68"/>
      <c r="H894" s="168"/>
      <c r="K894" s="1"/>
      <c r="N894" s="1"/>
      <c r="Q894" s="1"/>
      <c r="R894" s="168"/>
      <c r="S894" s="168"/>
      <c r="T894" s="168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68"/>
      <c r="H895" s="168"/>
      <c r="K895" s="1"/>
      <c r="N895" s="1"/>
      <c r="Q895" s="1"/>
      <c r="R895" s="168"/>
      <c r="S895" s="168"/>
      <c r="T895" s="168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68"/>
      <c r="H896" s="168"/>
      <c r="K896" s="1"/>
      <c r="N896" s="1"/>
      <c r="Q896" s="1"/>
      <c r="R896" s="168"/>
      <c r="S896" s="168"/>
      <c r="T896" s="168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68"/>
      <c r="H897" s="168"/>
      <c r="K897" s="1"/>
      <c r="N897" s="1"/>
      <c r="Q897" s="1"/>
      <c r="R897" s="168"/>
      <c r="S897" s="168"/>
      <c r="T897" s="168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68"/>
      <c r="H898" s="168"/>
      <c r="K898" s="1"/>
      <c r="N898" s="1"/>
      <c r="Q898" s="1"/>
      <c r="R898" s="168"/>
      <c r="S898" s="168"/>
      <c r="T898" s="168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68"/>
      <c r="H899" s="168"/>
      <c r="K899" s="1"/>
      <c r="N899" s="1"/>
      <c r="Q899" s="1"/>
      <c r="R899" s="168"/>
      <c r="S899" s="168"/>
      <c r="T899" s="168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68"/>
      <c r="H900" s="168"/>
      <c r="K900" s="1"/>
      <c r="N900" s="1"/>
      <c r="Q900" s="1"/>
      <c r="R900" s="168"/>
      <c r="S900" s="168"/>
      <c r="T900" s="168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68"/>
      <c r="H901" s="168"/>
      <c r="K901" s="1"/>
      <c r="N901" s="1"/>
      <c r="Q901" s="1"/>
      <c r="R901" s="168"/>
      <c r="S901" s="168"/>
      <c r="T901" s="168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68"/>
      <c r="H902" s="168"/>
      <c r="K902" s="1"/>
      <c r="N902" s="1"/>
      <c r="Q902" s="1"/>
      <c r="R902" s="168"/>
      <c r="S902" s="168"/>
      <c r="T902" s="168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68"/>
      <c r="H903" s="168"/>
      <c r="K903" s="1"/>
      <c r="N903" s="1"/>
      <c r="Q903" s="1"/>
      <c r="R903" s="168"/>
      <c r="S903" s="168"/>
      <c r="T903" s="168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68"/>
      <c r="H904" s="168"/>
      <c r="K904" s="1"/>
      <c r="N904" s="1"/>
      <c r="Q904" s="1"/>
      <c r="R904" s="168"/>
      <c r="S904" s="168"/>
      <c r="T904" s="168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68"/>
      <c r="H905" s="168"/>
      <c r="K905" s="1"/>
      <c r="N905" s="1"/>
      <c r="Q905" s="1"/>
      <c r="R905" s="168"/>
      <c r="S905" s="168"/>
      <c r="T905" s="168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68"/>
      <c r="H906" s="168"/>
      <c r="K906" s="1"/>
      <c r="N906" s="1"/>
      <c r="Q906" s="1"/>
      <c r="R906" s="168"/>
      <c r="S906" s="168"/>
      <c r="T906" s="168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68"/>
      <c r="H907" s="168"/>
      <c r="K907" s="1"/>
      <c r="N907" s="1"/>
      <c r="Q907" s="1"/>
      <c r="R907" s="168"/>
      <c r="S907" s="168"/>
      <c r="T907" s="168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68"/>
      <c r="H908" s="168"/>
      <c r="K908" s="1"/>
      <c r="N908" s="1"/>
      <c r="Q908" s="1"/>
      <c r="R908" s="168"/>
      <c r="S908" s="168"/>
      <c r="T908" s="168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68"/>
      <c r="H909" s="168"/>
      <c r="K909" s="1"/>
      <c r="N909" s="1"/>
      <c r="Q909" s="1"/>
      <c r="R909" s="168"/>
      <c r="S909" s="168"/>
      <c r="T909" s="168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68"/>
      <c r="H910" s="168"/>
      <c r="K910" s="1"/>
      <c r="N910" s="1"/>
      <c r="Q910" s="1"/>
      <c r="R910" s="168"/>
      <c r="S910" s="168"/>
      <c r="T910" s="168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68"/>
      <c r="H911" s="168"/>
      <c r="K911" s="1"/>
      <c r="N911" s="1"/>
      <c r="Q911" s="1"/>
      <c r="R911" s="168"/>
      <c r="S911" s="168"/>
      <c r="T911" s="168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68"/>
      <c r="H912" s="168"/>
      <c r="K912" s="1"/>
      <c r="N912" s="1"/>
      <c r="Q912" s="1"/>
      <c r="R912" s="168"/>
      <c r="S912" s="168"/>
      <c r="T912" s="168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68"/>
      <c r="H913" s="168"/>
      <c r="K913" s="1"/>
      <c r="N913" s="1"/>
      <c r="Q913" s="1"/>
      <c r="R913" s="168"/>
      <c r="S913" s="168"/>
      <c r="T913" s="168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68"/>
      <c r="H914" s="168"/>
      <c r="K914" s="1"/>
      <c r="N914" s="1"/>
      <c r="Q914" s="1"/>
      <c r="R914" s="168"/>
      <c r="S914" s="168"/>
      <c r="T914" s="168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68"/>
      <c r="H915" s="168"/>
      <c r="K915" s="1"/>
      <c r="N915" s="1"/>
      <c r="Q915" s="1"/>
      <c r="R915" s="168"/>
      <c r="S915" s="168"/>
      <c r="T915" s="168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68"/>
      <c r="H916" s="168"/>
      <c r="K916" s="1"/>
      <c r="N916" s="1"/>
      <c r="Q916" s="1"/>
      <c r="R916" s="168"/>
      <c r="S916" s="168"/>
      <c r="T916" s="168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68"/>
      <c r="H917" s="168"/>
      <c r="K917" s="1"/>
      <c r="N917" s="1"/>
      <c r="Q917" s="1"/>
      <c r="R917" s="168"/>
      <c r="S917" s="168"/>
      <c r="T917" s="168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68"/>
      <c r="H918" s="168"/>
      <c r="K918" s="1"/>
      <c r="N918" s="1"/>
      <c r="Q918" s="1"/>
      <c r="R918" s="168"/>
      <c r="S918" s="168"/>
      <c r="T918" s="168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68"/>
      <c r="H919" s="168"/>
      <c r="K919" s="1"/>
      <c r="N919" s="1"/>
      <c r="Q919" s="1"/>
      <c r="R919" s="168"/>
      <c r="S919" s="168"/>
      <c r="T919" s="168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68"/>
      <c r="H920" s="168"/>
      <c r="K920" s="1"/>
      <c r="N920" s="1"/>
      <c r="Q920" s="1"/>
      <c r="R920" s="168"/>
      <c r="S920" s="168"/>
      <c r="T920" s="168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68"/>
      <c r="H921" s="168"/>
      <c r="K921" s="1"/>
      <c r="N921" s="1"/>
      <c r="Q921" s="1"/>
      <c r="R921" s="168"/>
      <c r="S921" s="168"/>
      <c r="T921" s="168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68"/>
      <c r="H922" s="168"/>
      <c r="K922" s="1"/>
      <c r="N922" s="1"/>
      <c r="Q922" s="1"/>
      <c r="R922" s="168"/>
      <c r="S922" s="168"/>
      <c r="T922" s="168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68"/>
      <c r="H923" s="168"/>
      <c r="K923" s="1"/>
      <c r="N923" s="1"/>
      <c r="Q923" s="1"/>
      <c r="R923" s="168"/>
      <c r="S923" s="168"/>
      <c r="T923" s="168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68"/>
      <c r="H924" s="168"/>
      <c r="K924" s="1"/>
      <c r="N924" s="1"/>
      <c r="Q924" s="1"/>
      <c r="R924" s="168"/>
      <c r="S924" s="168"/>
      <c r="T924" s="168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68"/>
      <c r="H925" s="168"/>
      <c r="K925" s="1"/>
      <c r="N925" s="1"/>
      <c r="Q925" s="1"/>
      <c r="R925" s="168"/>
      <c r="S925" s="168"/>
      <c r="T925" s="168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68"/>
      <c r="H926" s="168"/>
      <c r="K926" s="1"/>
      <c r="N926" s="1"/>
      <c r="Q926" s="1"/>
      <c r="R926" s="168"/>
      <c r="S926" s="168"/>
      <c r="T926" s="168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68"/>
      <c r="H927" s="168"/>
      <c r="K927" s="1"/>
      <c r="N927" s="1"/>
      <c r="Q927" s="1"/>
      <c r="R927" s="168"/>
      <c r="S927" s="168"/>
      <c r="T927" s="168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68"/>
      <c r="H928" s="168"/>
      <c r="K928" s="1"/>
      <c r="N928" s="1"/>
      <c r="Q928" s="1"/>
      <c r="R928" s="168"/>
      <c r="S928" s="168"/>
      <c r="T928" s="168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68"/>
      <c r="H929" s="168"/>
      <c r="K929" s="1"/>
      <c r="N929" s="1"/>
      <c r="Q929" s="1"/>
      <c r="R929" s="168"/>
      <c r="S929" s="168"/>
      <c r="T929" s="168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68"/>
      <c r="H930" s="168"/>
      <c r="K930" s="1"/>
      <c r="N930" s="1"/>
      <c r="Q930" s="1"/>
      <c r="R930" s="168"/>
      <c r="S930" s="168"/>
      <c r="T930" s="168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68"/>
      <c r="H931" s="168"/>
      <c r="K931" s="1"/>
      <c r="N931" s="1"/>
      <c r="Q931" s="1"/>
      <c r="R931" s="168"/>
      <c r="S931" s="168"/>
      <c r="T931" s="168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68"/>
      <c r="H932" s="168"/>
      <c r="K932" s="1"/>
      <c r="N932" s="1"/>
      <c r="Q932" s="1"/>
      <c r="R932" s="168"/>
      <c r="S932" s="168"/>
      <c r="T932" s="168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68"/>
      <c r="H933" s="168"/>
      <c r="K933" s="1"/>
      <c r="N933" s="1"/>
      <c r="Q933" s="1"/>
      <c r="R933" s="168"/>
      <c r="S933" s="168"/>
      <c r="T933" s="168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68"/>
      <c r="H934" s="168"/>
      <c r="K934" s="1"/>
      <c r="N934" s="1"/>
      <c r="Q934" s="1"/>
      <c r="R934" s="168"/>
      <c r="S934" s="168"/>
      <c r="T934" s="168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68"/>
      <c r="H935" s="168"/>
      <c r="K935" s="1"/>
      <c r="N935" s="1"/>
      <c r="Q935" s="1"/>
      <c r="R935" s="168"/>
      <c r="S935" s="168"/>
      <c r="T935" s="168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68"/>
      <c r="H936" s="168"/>
      <c r="K936" s="1"/>
      <c r="N936" s="1"/>
      <c r="Q936" s="1"/>
      <c r="R936" s="168"/>
      <c r="S936" s="168"/>
      <c r="T936" s="168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68"/>
      <c r="H937" s="168"/>
      <c r="K937" s="1"/>
      <c r="N937" s="1"/>
      <c r="Q937" s="1"/>
      <c r="R937" s="168"/>
      <c r="S937" s="168"/>
      <c r="T937" s="168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68"/>
      <c r="H938" s="168"/>
      <c r="K938" s="1"/>
      <c r="N938" s="1"/>
      <c r="Q938" s="1"/>
      <c r="R938" s="168"/>
      <c r="S938" s="168"/>
      <c r="T938" s="168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68"/>
      <c r="H939" s="168"/>
      <c r="K939" s="1"/>
      <c r="N939" s="1"/>
      <c r="Q939" s="1"/>
      <c r="R939" s="168"/>
      <c r="S939" s="168"/>
      <c r="T939" s="168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68"/>
      <c r="H940" s="168"/>
      <c r="K940" s="1"/>
      <c r="N940" s="1"/>
      <c r="Q940" s="1"/>
      <c r="R940" s="168"/>
      <c r="S940" s="168"/>
      <c r="T940" s="168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68"/>
      <c r="H941" s="168"/>
      <c r="K941" s="1"/>
      <c r="N941" s="1"/>
      <c r="Q941" s="1"/>
      <c r="R941" s="168"/>
      <c r="S941" s="168"/>
      <c r="T941" s="168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68"/>
      <c r="H942" s="168"/>
      <c r="K942" s="1"/>
      <c r="N942" s="1"/>
      <c r="Q942" s="1"/>
      <c r="R942" s="168"/>
      <c r="S942" s="168"/>
      <c r="T942" s="168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68"/>
      <c r="H943" s="168"/>
      <c r="K943" s="1"/>
      <c r="N943" s="1"/>
      <c r="Q943" s="1"/>
      <c r="R943" s="168"/>
      <c r="S943" s="168"/>
      <c r="T943" s="168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68"/>
      <c r="H944" s="168"/>
      <c r="K944" s="1"/>
      <c r="N944" s="1"/>
      <c r="Q944" s="1"/>
      <c r="R944" s="168"/>
      <c r="S944" s="168"/>
      <c r="T944" s="168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68"/>
      <c r="H945" s="168"/>
      <c r="K945" s="1"/>
      <c r="N945" s="1"/>
      <c r="Q945" s="1"/>
      <c r="R945" s="168"/>
      <c r="S945" s="168"/>
      <c r="T945" s="168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68"/>
      <c r="H946" s="168"/>
      <c r="K946" s="1"/>
      <c r="N946" s="1"/>
      <c r="Q946" s="1"/>
      <c r="R946" s="168"/>
      <c r="S946" s="168"/>
      <c r="T946" s="168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68"/>
      <c r="H947" s="168"/>
      <c r="K947" s="1"/>
      <c r="N947" s="1"/>
      <c r="Q947" s="1"/>
      <c r="R947" s="168"/>
      <c r="S947" s="168"/>
      <c r="T947" s="168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68"/>
      <c r="H948" s="168"/>
      <c r="K948" s="1"/>
      <c r="N948" s="1"/>
      <c r="Q948" s="1"/>
      <c r="R948" s="168"/>
      <c r="S948" s="168"/>
      <c r="T948" s="168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68"/>
      <c r="H949" s="168"/>
      <c r="K949" s="1"/>
      <c r="N949" s="1"/>
      <c r="Q949" s="1"/>
      <c r="R949" s="168"/>
      <c r="S949" s="168"/>
      <c r="T949" s="168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68"/>
      <c r="H950" s="168"/>
      <c r="K950" s="1"/>
      <c r="N950" s="1"/>
      <c r="Q950" s="1"/>
      <c r="R950" s="168"/>
      <c r="S950" s="168"/>
      <c r="T950" s="168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68"/>
      <c r="H951" s="168"/>
      <c r="K951" s="1"/>
      <c r="N951" s="1"/>
      <c r="Q951" s="1"/>
      <c r="R951" s="168"/>
      <c r="S951" s="168"/>
      <c r="T951" s="168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68"/>
      <c r="H952" s="168"/>
      <c r="K952" s="1"/>
      <c r="N952" s="1"/>
      <c r="Q952" s="1"/>
      <c r="R952" s="168"/>
      <c r="S952" s="168"/>
      <c r="T952" s="168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68"/>
      <c r="H953" s="168"/>
      <c r="K953" s="1"/>
      <c r="N953" s="1"/>
      <c r="Q953" s="1"/>
      <c r="R953" s="168"/>
      <c r="S953" s="168"/>
      <c r="T953" s="168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68"/>
      <c r="H954" s="168"/>
      <c r="K954" s="1"/>
      <c r="N954" s="1"/>
      <c r="Q954" s="1"/>
      <c r="R954" s="168"/>
      <c r="S954" s="168"/>
      <c r="T954" s="168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68"/>
      <c r="H955" s="168"/>
      <c r="K955" s="1"/>
      <c r="N955" s="1"/>
      <c r="Q955" s="1"/>
      <c r="R955" s="168"/>
      <c r="S955" s="168"/>
      <c r="T955" s="168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68"/>
      <c r="H956" s="168"/>
      <c r="K956" s="1"/>
      <c r="N956" s="1"/>
      <c r="Q956" s="1"/>
      <c r="R956" s="168"/>
      <c r="S956" s="168"/>
      <c r="T956" s="168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68"/>
      <c r="H957" s="168"/>
      <c r="K957" s="1"/>
      <c r="N957" s="1"/>
      <c r="Q957" s="1"/>
      <c r="R957" s="168"/>
      <c r="S957" s="168"/>
      <c r="T957" s="168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68"/>
      <c r="H958" s="168"/>
      <c r="K958" s="1"/>
      <c r="N958" s="1"/>
      <c r="Q958" s="1"/>
      <c r="R958" s="168"/>
      <c r="S958" s="168"/>
      <c r="T958" s="168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68"/>
      <c r="H959" s="168"/>
      <c r="K959" s="1"/>
      <c r="N959" s="1"/>
      <c r="Q959" s="1"/>
      <c r="R959" s="168"/>
      <c r="S959" s="168"/>
      <c r="T959" s="168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68"/>
      <c r="H960" s="168"/>
      <c r="K960" s="1"/>
      <c r="N960" s="1"/>
      <c r="Q960" s="1"/>
      <c r="R960" s="168"/>
      <c r="S960" s="168"/>
      <c r="T960" s="168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68"/>
      <c r="H961" s="168"/>
      <c r="K961" s="1"/>
      <c r="N961" s="1"/>
      <c r="Q961" s="1"/>
      <c r="R961" s="168"/>
      <c r="S961" s="168"/>
      <c r="T961" s="168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68"/>
      <c r="H962" s="168"/>
      <c r="K962" s="1"/>
      <c r="N962" s="1"/>
      <c r="Q962" s="1"/>
      <c r="R962" s="168"/>
      <c r="S962" s="168"/>
      <c r="T962" s="168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68"/>
      <c r="H963" s="168"/>
      <c r="K963" s="1"/>
      <c r="N963" s="1"/>
      <c r="Q963" s="1"/>
      <c r="R963" s="168"/>
      <c r="S963" s="168"/>
      <c r="T963" s="168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68"/>
      <c r="H964" s="168"/>
      <c r="K964" s="1"/>
      <c r="N964" s="1"/>
      <c r="Q964" s="1"/>
      <c r="R964" s="168"/>
      <c r="S964" s="168"/>
      <c r="T964" s="168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68"/>
      <c r="H965" s="168"/>
      <c r="K965" s="1"/>
      <c r="N965" s="1"/>
      <c r="Q965" s="1"/>
      <c r="R965" s="168"/>
      <c r="S965" s="168"/>
      <c r="T965" s="168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68"/>
      <c r="H966" s="168"/>
      <c r="K966" s="1"/>
      <c r="N966" s="1"/>
      <c r="Q966" s="1"/>
      <c r="R966" s="168"/>
      <c r="S966" s="168"/>
      <c r="T966" s="168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68"/>
      <c r="H967" s="168"/>
      <c r="K967" s="1"/>
      <c r="N967" s="1"/>
      <c r="Q967" s="1"/>
      <c r="R967" s="168"/>
      <c r="S967" s="168"/>
      <c r="T967" s="168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68"/>
      <c r="H968" s="168"/>
      <c r="K968" s="1"/>
      <c r="N968" s="1"/>
      <c r="Q968" s="1"/>
      <c r="R968" s="168"/>
      <c r="S968" s="168"/>
      <c r="T968" s="168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68"/>
      <c r="H969" s="168"/>
      <c r="K969" s="1"/>
      <c r="N969" s="1"/>
      <c r="Q969" s="1"/>
      <c r="R969" s="168"/>
      <c r="S969" s="168"/>
      <c r="T969" s="168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68"/>
      <c r="H970" s="168"/>
      <c r="K970" s="1"/>
      <c r="N970" s="1"/>
      <c r="Q970" s="1"/>
      <c r="R970" s="168"/>
      <c r="S970" s="168"/>
      <c r="T970" s="168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68"/>
      <c r="H971" s="168"/>
      <c r="K971" s="1"/>
      <c r="N971" s="1"/>
      <c r="Q971" s="1"/>
      <c r="R971" s="168"/>
      <c r="S971" s="168"/>
      <c r="T971" s="168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68"/>
      <c r="H972" s="168"/>
      <c r="K972" s="1"/>
      <c r="N972" s="1"/>
      <c r="Q972" s="1"/>
      <c r="R972" s="168"/>
      <c r="S972" s="168"/>
      <c r="T972" s="168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68"/>
      <c r="H973" s="168"/>
      <c r="K973" s="1"/>
      <c r="N973" s="1"/>
      <c r="Q973" s="1"/>
      <c r="R973" s="168"/>
      <c r="S973" s="168"/>
      <c r="T973" s="168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68"/>
      <c r="H974" s="168"/>
      <c r="K974" s="1"/>
      <c r="N974" s="1"/>
      <c r="Q974" s="1"/>
      <c r="R974" s="168"/>
      <c r="S974" s="168"/>
      <c r="T974" s="168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68"/>
      <c r="H975" s="168"/>
      <c r="K975" s="1"/>
      <c r="N975" s="1"/>
      <c r="Q975" s="1"/>
      <c r="R975" s="168"/>
      <c r="S975" s="168"/>
      <c r="T975" s="168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68"/>
      <c r="H976" s="168"/>
      <c r="K976" s="1"/>
      <c r="N976" s="1"/>
      <c r="Q976" s="1"/>
      <c r="R976" s="168"/>
      <c r="S976" s="168"/>
      <c r="T976" s="168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68"/>
      <c r="H977" s="168"/>
      <c r="K977" s="1"/>
      <c r="N977" s="1"/>
      <c r="Q977" s="1"/>
      <c r="R977" s="168"/>
      <c r="S977" s="168"/>
      <c r="T977" s="168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68"/>
      <c r="H978" s="168"/>
      <c r="K978" s="1"/>
      <c r="N978" s="1"/>
      <c r="Q978" s="1"/>
      <c r="R978" s="168"/>
      <c r="S978" s="168"/>
      <c r="T978" s="168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68"/>
      <c r="H979" s="168"/>
      <c r="K979" s="1"/>
      <c r="N979" s="1"/>
      <c r="Q979" s="1"/>
      <c r="R979" s="168"/>
      <c r="S979" s="168"/>
      <c r="T979" s="168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68"/>
      <c r="H980" s="168"/>
      <c r="K980" s="1"/>
      <c r="N980" s="1"/>
      <c r="Q980" s="1"/>
      <c r="R980" s="168"/>
      <c r="S980" s="168"/>
      <c r="T980" s="168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68"/>
      <c r="H981" s="168"/>
      <c r="K981" s="1"/>
      <c r="N981" s="1"/>
      <c r="Q981" s="1"/>
      <c r="R981" s="168"/>
      <c r="S981" s="168"/>
      <c r="T981" s="168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68"/>
      <c r="H982" s="168"/>
      <c r="K982" s="1"/>
      <c r="N982" s="1"/>
      <c r="Q982" s="1"/>
      <c r="R982" s="168"/>
      <c r="S982" s="168"/>
      <c r="T982" s="168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68"/>
      <c r="H983" s="168"/>
      <c r="K983" s="1"/>
      <c r="N983" s="1"/>
      <c r="Q983" s="1"/>
      <c r="R983" s="168"/>
      <c r="S983" s="168"/>
      <c r="T983" s="168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68"/>
      <c r="H984" s="168"/>
      <c r="K984" s="1"/>
      <c r="N984" s="1"/>
      <c r="Q984" s="1"/>
      <c r="R984" s="168"/>
      <c r="S984" s="168"/>
      <c r="T984" s="168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68"/>
      <c r="H985" s="168"/>
      <c r="K985" s="1"/>
      <c r="N985" s="1"/>
      <c r="Q985" s="1"/>
      <c r="R985" s="168"/>
      <c r="S985" s="168"/>
      <c r="T985" s="168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68"/>
      <c r="H986" s="168"/>
      <c r="K986" s="1"/>
      <c r="N986" s="1"/>
      <c r="Q986" s="1"/>
      <c r="R986" s="168"/>
      <c r="S986" s="168"/>
      <c r="T986" s="168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68"/>
      <c r="H987" s="168"/>
      <c r="K987" s="1"/>
      <c r="N987" s="1"/>
      <c r="Q987" s="1"/>
      <c r="R987" s="168"/>
      <c r="S987" s="168"/>
      <c r="T987" s="168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68"/>
      <c r="H988" s="168"/>
      <c r="K988" s="1"/>
      <c r="N988" s="1"/>
      <c r="Q988" s="1"/>
      <c r="R988" s="168"/>
      <c r="S988" s="168"/>
      <c r="T988" s="168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68"/>
      <c r="H989" s="168"/>
      <c r="K989" s="1"/>
      <c r="N989" s="1"/>
      <c r="Q989" s="1"/>
      <c r="R989" s="168"/>
      <c r="S989" s="168"/>
      <c r="T989" s="168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68"/>
      <c r="H990" s="168"/>
      <c r="K990" s="1"/>
      <c r="N990" s="1"/>
      <c r="Q990" s="1"/>
      <c r="R990" s="168"/>
      <c r="S990" s="168"/>
      <c r="T990" s="168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68"/>
      <c r="H991" s="168"/>
      <c r="K991" s="1"/>
      <c r="N991" s="1"/>
      <c r="Q991" s="1"/>
      <c r="R991" s="168"/>
      <c r="S991" s="168"/>
      <c r="T991" s="168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68"/>
      <c r="H992" s="168"/>
      <c r="K992" s="1"/>
      <c r="N992" s="1"/>
      <c r="Q992" s="1"/>
      <c r="R992" s="168"/>
      <c r="S992" s="168"/>
      <c r="T992" s="168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68"/>
      <c r="H993" s="168"/>
      <c r="K993" s="1"/>
      <c r="N993" s="1"/>
      <c r="Q993" s="1"/>
      <c r="R993" s="168"/>
      <c r="S993" s="168"/>
      <c r="T993" s="168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68"/>
      <c r="H994" s="168"/>
      <c r="K994" s="1"/>
      <c r="N994" s="1"/>
      <c r="Q994" s="1"/>
      <c r="R994" s="168"/>
      <c r="S994" s="168"/>
      <c r="T994" s="168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68"/>
      <c r="H995" s="168"/>
      <c r="K995" s="1"/>
      <c r="N995" s="1"/>
      <c r="Q995" s="1"/>
      <c r="R995" s="168"/>
      <c r="S995" s="168"/>
      <c r="T995" s="168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68"/>
      <c r="H996" s="168"/>
      <c r="K996" s="1"/>
      <c r="N996" s="1"/>
      <c r="Q996" s="1"/>
      <c r="R996" s="168"/>
      <c r="S996" s="168"/>
      <c r="T996" s="168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68"/>
      <c r="H997" s="168"/>
      <c r="K997" s="1"/>
      <c r="N997" s="1"/>
      <c r="Q997" s="1"/>
      <c r="R997" s="168"/>
      <c r="S997" s="168"/>
      <c r="T997" s="168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68"/>
      <c r="H998" s="168"/>
      <c r="K998" s="1"/>
      <c r="N998" s="1"/>
      <c r="Q998" s="1"/>
      <c r="R998" s="168"/>
      <c r="S998" s="168"/>
      <c r="T998" s="168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68"/>
      <c r="H999" s="168"/>
      <c r="K999" s="1"/>
      <c r="N999" s="1"/>
      <c r="Q999" s="1"/>
      <c r="R999" s="168"/>
      <c r="S999" s="168"/>
      <c r="T999" s="168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68"/>
      <c r="H1000" s="168"/>
      <c r="K1000" s="1"/>
      <c r="N1000" s="1"/>
      <c r="Q1000" s="1"/>
      <c r="R1000" s="168"/>
      <c r="S1000" s="168"/>
      <c r="T1000" s="168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hyperlinks>
    <hyperlink r:id="rId1" ref="B5"/>
    <hyperlink r:id="rId2" ref="B6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4" t="s">
        <v>0</v>
      </c>
      <c r="C2" s="6"/>
      <c r="D2" s="6"/>
      <c r="E2" s="10"/>
      <c r="F2" s="6"/>
      <c r="G2" s="6"/>
      <c r="H2" s="6"/>
      <c r="I2" s="14" t="s">
        <v>5</v>
      </c>
      <c r="J2" s="6"/>
      <c r="K2" s="10"/>
      <c r="L2" s="6"/>
    </row>
    <row r="3" ht="30.75" customHeight="1">
      <c r="B3" s="14" t="s">
        <v>7</v>
      </c>
      <c r="C3" s="6"/>
      <c r="D3" s="6"/>
      <c r="E3" s="10"/>
      <c r="F3" s="6"/>
      <c r="G3" s="6"/>
      <c r="H3" s="6"/>
      <c r="I3" s="14" t="s">
        <v>9</v>
      </c>
      <c r="J3" s="6"/>
      <c r="K3" s="10"/>
      <c r="L3" s="6"/>
    </row>
    <row r="4" ht="63.75" customHeight="1">
      <c r="A4" s="22" t="s">
        <v>12</v>
      </c>
      <c r="B4" s="22" t="s">
        <v>13</v>
      </c>
      <c r="C4" s="22" t="s">
        <v>14</v>
      </c>
      <c r="D4" s="22" t="s">
        <v>16</v>
      </c>
      <c r="E4" s="22" t="s">
        <v>17</v>
      </c>
      <c r="F4" s="22" t="s">
        <v>18</v>
      </c>
      <c r="G4" s="22" t="s">
        <v>19</v>
      </c>
      <c r="H4" s="22" t="s">
        <v>21</v>
      </c>
      <c r="I4" s="22" t="s">
        <v>23</v>
      </c>
      <c r="J4" s="22" t="s">
        <v>25</v>
      </c>
      <c r="K4" s="22" t="s">
        <v>26</v>
      </c>
      <c r="L4" s="22" t="s">
        <v>28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4">
        <v>1.0</v>
      </c>
      <c r="B5" s="37" t="s">
        <v>34</v>
      </c>
      <c r="C5" s="37" t="s">
        <v>36</v>
      </c>
      <c r="D5" s="39">
        <v>24.0</v>
      </c>
      <c r="E5" s="37" t="s">
        <v>39</v>
      </c>
      <c r="F5" s="37" t="s">
        <v>40</v>
      </c>
      <c r="G5" s="39">
        <v>60.0</v>
      </c>
      <c r="H5" s="37" t="s">
        <v>40</v>
      </c>
      <c r="I5" s="37" t="s">
        <v>44</v>
      </c>
      <c r="J5" s="39">
        <v>100.0</v>
      </c>
      <c r="K5" s="37" t="s">
        <v>53</v>
      </c>
      <c r="L5" s="43" t="s">
        <v>54</v>
      </c>
    </row>
    <row r="6">
      <c r="A6" s="34">
        <v>2.0</v>
      </c>
      <c r="B6" s="37" t="s">
        <v>34</v>
      </c>
      <c r="C6" s="37" t="s">
        <v>62</v>
      </c>
      <c r="D6" s="39">
        <v>32.0</v>
      </c>
      <c r="E6" s="37" t="s">
        <v>39</v>
      </c>
      <c r="F6" s="37" t="s">
        <v>40</v>
      </c>
      <c r="G6" s="39">
        <v>30.0</v>
      </c>
      <c r="H6" s="37" t="s">
        <v>40</v>
      </c>
      <c r="I6" s="37" t="s">
        <v>44</v>
      </c>
      <c r="J6" s="39">
        <v>100.0</v>
      </c>
      <c r="K6" s="37" t="s">
        <v>53</v>
      </c>
      <c r="L6" s="37" t="s">
        <v>53</v>
      </c>
    </row>
    <row r="7">
      <c r="A7" s="34">
        <v>3.0</v>
      </c>
      <c r="B7" s="37" t="s">
        <v>72</v>
      </c>
      <c r="C7" s="37" t="s">
        <v>73</v>
      </c>
      <c r="D7" s="39">
        <v>6.0</v>
      </c>
      <c r="E7" s="37" t="s">
        <v>75</v>
      </c>
      <c r="F7" s="37" t="s">
        <v>40</v>
      </c>
      <c r="G7" s="39">
        <v>15.0</v>
      </c>
      <c r="H7" s="49">
        <v>11.0</v>
      </c>
      <c r="I7" s="53" t="s">
        <v>78</v>
      </c>
      <c r="J7" s="39">
        <v>100.0</v>
      </c>
      <c r="K7" s="37" t="s">
        <v>53</v>
      </c>
      <c r="L7" s="37" t="s">
        <v>53</v>
      </c>
    </row>
    <row r="8">
      <c r="A8" s="34">
        <v>4.0</v>
      </c>
      <c r="B8" s="37" t="s">
        <v>34</v>
      </c>
      <c r="C8" s="37" t="s">
        <v>91</v>
      </c>
      <c r="D8" s="39">
        <v>2.0</v>
      </c>
      <c r="E8" s="37" t="s">
        <v>39</v>
      </c>
      <c r="F8" s="37" t="s">
        <v>40</v>
      </c>
      <c r="G8" s="39">
        <v>60.0</v>
      </c>
      <c r="H8" s="37" t="s">
        <v>40</v>
      </c>
      <c r="I8" s="37" t="s">
        <v>44</v>
      </c>
      <c r="J8" s="39">
        <v>100.0</v>
      </c>
      <c r="K8" s="37" t="s">
        <v>53</v>
      </c>
      <c r="L8" s="43" t="s">
        <v>54</v>
      </c>
    </row>
    <row r="9">
      <c r="A9" s="34">
        <v>5.0</v>
      </c>
      <c r="B9" s="37" t="s">
        <v>34</v>
      </c>
      <c r="C9" s="37" t="s">
        <v>102</v>
      </c>
      <c r="D9" s="39">
        <v>4.0</v>
      </c>
      <c r="E9" s="37" t="s">
        <v>39</v>
      </c>
      <c r="F9" s="37" t="s">
        <v>40</v>
      </c>
      <c r="G9" s="39">
        <v>60.0</v>
      </c>
      <c r="H9" s="37" t="s">
        <v>40</v>
      </c>
      <c r="I9" s="37" t="s">
        <v>44</v>
      </c>
      <c r="J9" s="39">
        <v>100.0</v>
      </c>
      <c r="K9" s="37" t="s">
        <v>53</v>
      </c>
      <c r="L9" s="43" t="s">
        <v>54</v>
      </c>
    </row>
    <row r="10">
      <c r="A10" s="34">
        <v>5.0</v>
      </c>
      <c r="B10" s="37" t="s">
        <v>34</v>
      </c>
      <c r="C10" s="37" t="s">
        <v>111</v>
      </c>
      <c r="D10" s="39">
        <v>6.0</v>
      </c>
      <c r="E10" s="37" t="s">
        <v>39</v>
      </c>
      <c r="F10" s="37" t="s">
        <v>40</v>
      </c>
      <c r="G10" s="39">
        <v>60.0</v>
      </c>
      <c r="H10" s="37" t="s">
        <v>40</v>
      </c>
      <c r="I10" s="37" t="s">
        <v>44</v>
      </c>
      <c r="J10" s="39">
        <v>100.0</v>
      </c>
      <c r="K10" s="37" t="s">
        <v>53</v>
      </c>
      <c r="L10" s="43" t="s">
        <v>54</v>
      </c>
    </row>
    <row r="11">
      <c r="A11" s="74" t="str">
        <f t="shared" ref="A11:A34" si="1">IF(B11="","",ROW()-4)</f>
        <v/>
      </c>
      <c r="B11" s="76"/>
      <c r="C11" s="76"/>
      <c r="D11" s="78"/>
      <c r="E11" s="76"/>
      <c r="F11" s="76"/>
      <c r="G11" s="78"/>
      <c r="H11" s="76"/>
      <c r="I11" s="76"/>
      <c r="J11" s="78"/>
      <c r="K11" s="76"/>
      <c r="L11" s="76"/>
    </row>
    <row r="12">
      <c r="A12" s="74" t="str">
        <f t="shared" si="1"/>
        <v/>
      </c>
      <c r="B12" s="76"/>
      <c r="C12" s="76"/>
      <c r="D12" s="78"/>
      <c r="E12" s="76"/>
      <c r="F12" s="76"/>
      <c r="G12" s="78"/>
      <c r="H12" s="76"/>
      <c r="I12" s="76"/>
      <c r="J12" s="78"/>
      <c r="K12" s="76"/>
      <c r="L12" s="76"/>
    </row>
    <row r="13">
      <c r="A13" s="74" t="str">
        <f t="shared" si="1"/>
        <v/>
      </c>
      <c r="B13" s="76"/>
      <c r="C13" s="76"/>
      <c r="D13" s="78"/>
      <c r="E13" s="76"/>
      <c r="F13" s="76"/>
      <c r="G13" s="78"/>
      <c r="H13" s="76"/>
      <c r="I13" s="76"/>
      <c r="J13" s="78"/>
      <c r="K13" s="76"/>
      <c r="L13" s="76"/>
    </row>
    <row r="14">
      <c r="A14" s="74" t="str">
        <f t="shared" si="1"/>
        <v/>
      </c>
      <c r="B14" s="76"/>
      <c r="C14" s="76"/>
      <c r="D14" s="78"/>
      <c r="E14" s="76"/>
      <c r="F14" s="76"/>
      <c r="G14" s="78"/>
      <c r="H14" s="76"/>
      <c r="I14" s="76"/>
      <c r="J14" s="78"/>
      <c r="K14" s="76"/>
      <c r="L14" s="76"/>
    </row>
    <row r="15">
      <c r="A15" s="74" t="str">
        <f t="shared" si="1"/>
        <v/>
      </c>
      <c r="B15" s="76"/>
      <c r="C15" s="76"/>
      <c r="D15" s="78"/>
      <c r="E15" s="76"/>
      <c r="F15" s="76"/>
      <c r="G15" s="78"/>
      <c r="H15" s="76"/>
      <c r="I15" s="76"/>
      <c r="J15" s="78"/>
      <c r="K15" s="76"/>
      <c r="L15" s="76"/>
    </row>
    <row r="16">
      <c r="A16" s="74" t="str">
        <f t="shared" si="1"/>
        <v/>
      </c>
      <c r="B16" s="76"/>
      <c r="C16" s="76"/>
      <c r="D16" s="78"/>
      <c r="E16" s="76"/>
      <c r="F16" s="76"/>
      <c r="G16" s="78"/>
      <c r="H16" s="76"/>
      <c r="I16" s="76"/>
      <c r="J16" s="78"/>
      <c r="K16" s="76"/>
      <c r="L16" s="76"/>
    </row>
    <row r="17">
      <c r="A17" s="74" t="str">
        <f t="shared" si="1"/>
        <v/>
      </c>
      <c r="B17" s="76"/>
      <c r="C17" s="76"/>
      <c r="D17" s="78"/>
      <c r="E17" s="76"/>
      <c r="F17" s="76"/>
      <c r="G17" s="78"/>
      <c r="H17" s="76"/>
      <c r="I17" s="76"/>
      <c r="J17" s="78"/>
      <c r="K17" s="76"/>
      <c r="L17" s="76"/>
    </row>
    <row r="18">
      <c r="A18" s="74" t="str">
        <f t="shared" si="1"/>
        <v/>
      </c>
      <c r="B18" s="76"/>
      <c r="C18" s="76"/>
      <c r="D18" s="78"/>
      <c r="E18" s="76"/>
      <c r="F18" s="76"/>
      <c r="G18" s="78"/>
      <c r="H18" s="76"/>
      <c r="I18" s="76"/>
      <c r="J18" s="78"/>
      <c r="K18" s="76"/>
      <c r="L18" s="76"/>
    </row>
    <row r="19">
      <c r="A19" s="74" t="str">
        <f t="shared" si="1"/>
        <v/>
      </c>
      <c r="B19" s="76"/>
      <c r="C19" s="76"/>
      <c r="D19" s="78"/>
      <c r="E19" s="76"/>
      <c r="F19" s="76"/>
      <c r="G19" s="78"/>
      <c r="H19" s="76"/>
      <c r="I19" s="76"/>
      <c r="J19" s="78"/>
      <c r="K19" s="76"/>
      <c r="L19" s="76"/>
    </row>
    <row r="20">
      <c r="A20" s="74" t="str">
        <f t="shared" si="1"/>
        <v/>
      </c>
      <c r="B20" s="76"/>
      <c r="C20" s="76"/>
      <c r="D20" s="78"/>
      <c r="E20" s="76"/>
      <c r="F20" s="76"/>
      <c r="G20" s="78"/>
      <c r="H20" s="76"/>
      <c r="I20" s="76"/>
      <c r="J20" s="78"/>
      <c r="K20" s="76"/>
      <c r="L20" s="76"/>
    </row>
    <row r="21" ht="15.75" customHeight="1">
      <c r="A21" s="74" t="str">
        <f t="shared" si="1"/>
        <v/>
      </c>
      <c r="B21" s="76"/>
      <c r="C21" s="76"/>
      <c r="D21" s="78"/>
      <c r="E21" s="76"/>
      <c r="F21" s="76"/>
      <c r="G21" s="78"/>
      <c r="H21" s="76"/>
      <c r="I21" s="76"/>
      <c r="J21" s="78"/>
      <c r="K21" s="76"/>
      <c r="L21" s="76"/>
    </row>
    <row r="22" ht="15.75" customHeight="1">
      <c r="A22" s="102" t="str">
        <f t="shared" si="1"/>
        <v/>
      </c>
      <c r="B22" s="104"/>
      <c r="C22" s="104"/>
      <c r="D22" s="105"/>
      <c r="E22" s="104"/>
      <c r="F22" s="104"/>
      <c r="G22" s="105"/>
      <c r="H22" s="104"/>
      <c r="I22" s="104"/>
      <c r="J22" s="105"/>
      <c r="K22" s="104"/>
      <c r="L22" s="106"/>
    </row>
    <row r="23" ht="15.75" customHeight="1">
      <c r="A23" s="102" t="str">
        <f t="shared" si="1"/>
        <v/>
      </c>
      <c r="B23" s="104"/>
      <c r="C23" s="104"/>
      <c r="D23" s="105"/>
      <c r="E23" s="104"/>
      <c r="F23" s="104"/>
      <c r="G23" s="105"/>
      <c r="H23" s="104"/>
      <c r="I23" s="104"/>
      <c r="J23" s="105"/>
      <c r="K23" s="104"/>
      <c r="L23" s="106"/>
    </row>
    <row r="24" ht="15.75" customHeight="1">
      <c r="A24" s="102" t="str">
        <f t="shared" si="1"/>
        <v/>
      </c>
      <c r="B24" s="104"/>
      <c r="C24" s="104"/>
      <c r="D24" s="105"/>
      <c r="E24" s="104"/>
      <c r="F24" s="104"/>
      <c r="G24" s="105"/>
      <c r="H24" s="104"/>
      <c r="I24" s="104"/>
      <c r="J24" s="105"/>
      <c r="K24" s="104"/>
      <c r="L24" s="106"/>
    </row>
    <row r="25" ht="15.75" customHeight="1">
      <c r="A25" s="102" t="str">
        <f t="shared" si="1"/>
        <v/>
      </c>
      <c r="B25" s="104"/>
      <c r="C25" s="104"/>
      <c r="D25" s="105"/>
      <c r="E25" s="104"/>
      <c r="F25" s="104"/>
      <c r="G25" s="105"/>
      <c r="H25" s="104"/>
      <c r="I25" s="104"/>
      <c r="J25" s="105"/>
      <c r="K25" s="104"/>
      <c r="L25" s="106"/>
    </row>
    <row r="26" ht="15.75" customHeight="1">
      <c r="A26" s="102" t="str">
        <f t="shared" si="1"/>
        <v/>
      </c>
      <c r="B26" s="104"/>
      <c r="C26" s="104"/>
      <c r="D26" s="105"/>
      <c r="E26" s="104"/>
      <c r="F26" s="104"/>
      <c r="G26" s="105"/>
      <c r="H26" s="104"/>
      <c r="I26" s="104"/>
      <c r="J26" s="105"/>
      <c r="K26" s="104"/>
      <c r="L26" s="106"/>
    </row>
    <row r="27" ht="15.75" customHeight="1">
      <c r="A27" s="102" t="str">
        <f t="shared" si="1"/>
        <v/>
      </c>
      <c r="B27" s="104"/>
      <c r="C27" s="104"/>
      <c r="D27" s="105"/>
      <c r="E27" s="104"/>
      <c r="F27" s="104"/>
      <c r="G27" s="105"/>
      <c r="H27" s="104"/>
      <c r="I27" s="104"/>
      <c r="J27" s="105"/>
      <c r="K27" s="104"/>
      <c r="L27" s="106"/>
    </row>
    <row r="28" ht="15.75" customHeight="1">
      <c r="A28" s="102" t="str">
        <f t="shared" si="1"/>
        <v/>
      </c>
      <c r="B28" s="104"/>
      <c r="C28" s="104"/>
      <c r="D28" s="105"/>
      <c r="E28" s="104"/>
      <c r="F28" s="104"/>
      <c r="G28" s="105"/>
      <c r="H28" s="104"/>
      <c r="I28" s="104"/>
      <c r="J28" s="105"/>
      <c r="K28" s="104"/>
      <c r="L28" s="106"/>
    </row>
    <row r="29" ht="15.75" customHeight="1">
      <c r="A29" s="102" t="str">
        <f t="shared" si="1"/>
        <v/>
      </c>
      <c r="B29" s="104"/>
      <c r="C29" s="104"/>
      <c r="D29" s="105"/>
      <c r="E29" s="104"/>
      <c r="F29" s="104"/>
      <c r="G29" s="105"/>
      <c r="H29" s="104"/>
      <c r="I29" s="104"/>
      <c r="J29" s="105"/>
      <c r="K29" s="104"/>
      <c r="L29" s="106"/>
    </row>
    <row r="30" ht="15.75" customHeight="1">
      <c r="A30" s="102" t="str">
        <f t="shared" si="1"/>
        <v/>
      </c>
      <c r="B30" s="104"/>
      <c r="C30" s="104"/>
      <c r="D30" s="105"/>
      <c r="E30" s="104"/>
      <c r="F30" s="104"/>
      <c r="G30" s="105"/>
      <c r="H30" s="104"/>
      <c r="I30" s="104"/>
      <c r="J30" s="105"/>
      <c r="K30" s="104"/>
      <c r="L30" s="106"/>
    </row>
    <row r="31" ht="15.75" customHeight="1">
      <c r="A31" s="102" t="str">
        <f t="shared" si="1"/>
        <v/>
      </c>
      <c r="B31" s="104"/>
      <c r="C31" s="104"/>
      <c r="D31" s="105"/>
      <c r="E31" s="104"/>
      <c r="F31" s="104"/>
      <c r="G31" s="105"/>
      <c r="H31" s="104"/>
      <c r="I31" s="104"/>
      <c r="J31" s="105"/>
      <c r="K31" s="104"/>
      <c r="L31" s="106"/>
    </row>
    <row r="32" ht="15.75" customHeight="1">
      <c r="A32" s="102" t="str">
        <f t="shared" si="1"/>
        <v/>
      </c>
      <c r="B32" s="104"/>
      <c r="C32" s="104"/>
      <c r="D32" s="105"/>
      <c r="E32" s="104"/>
      <c r="F32" s="104"/>
      <c r="G32" s="105"/>
      <c r="H32" s="104"/>
      <c r="I32" s="104"/>
      <c r="J32" s="105"/>
      <c r="K32" s="104"/>
      <c r="L32" s="106"/>
    </row>
    <row r="33" ht="15.75" customHeight="1">
      <c r="A33" s="102" t="str">
        <f t="shared" si="1"/>
        <v/>
      </c>
      <c r="B33" s="104"/>
      <c r="C33" s="104"/>
      <c r="D33" s="105"/>
      <c r="E33" s="104"/>
      <c r="F33" s="104"/>
      <c r="G33" s="105"/>
      <c r="H33" s="104"/>
      <c r="I33" s="104"/>
      <c r="J33" s="105"/>
      <c r="K33" s="104"/>
      <c r="L33" s="106"/>
    </row>
    <row r="34" ht="15.75" customHeight="1">
      <c r="A34" s="119" t="str">
        <f t="shared" si="1"/>
        <v/>
      </c>
      <c r="B34" s="120"/>
      <c r="C34" s="120"/>
      <c r="D34" s="121"/>
      <c r="E34" s="120"/>
      <c r="F34" s="120"/>
      <c r="G34" s="121"/>
      <c r="H34" s="120"/>
      <c r="I34" s="120"/>
      <c r="J34" s="121"/>
      <c r="K34" s="120"/>
      <c r="L34" s="12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hyperlinks>
    <hyperlink r:id="rId1" ref="I7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3" t="s">
        <v>4</v>
      </c>
      <c r="B1" s="6"/>
      <c r="C1" s="6"/>
      <c r="D1" s="6"/>
      <c r="E1" s="6"/>
      <c r="F1" s="6"/>
      <c r="G1" s="6"/>
      <c r="H1" s="6"/>
    </row>
    <row r="2" ht="29.25" customHeight="1">
      <c r="A2" s="18" t="s">
        <v>6</v>
      </c>
      <c r="B2" s="6"/>
      <c r="C2" s="6"/>
      <c r="D2" s="6"/>
      <c r="E2" s="6"/>
      <c r="F2" s="6"/>
      <c r="G2" s="6"/>
      <c r="H2" s="6"/>
    </row>
    <row r="3">
      <c r="A3" s="19"/>
      <c r="B3" s="19"/>
      <c r="C3" s="19"/>
      <c r="D3" s="19"/>
      <c r="E3" s="19"/>
      <c r="F3" s="19"/>
      <c r="G3" s="19"/>
      <c r="H3" s="19"/>
    </row>
    <row r="4">
      <c r="A4" s="21" t="s">
        <v>10</v>
      </c>
      <c r="B4" s="24"/>
      <c r="C4" s="25"/>
      <c r="D4" s="25"/>
      <c r="E4" s="25"/>
      <c r="F4" s="25"/>
      <c r="G4" s="25"/>
      <c r="H4" s="25"/>
    </row>
    <row r="5">
      <c r="A5" s="28" t="s">
        <v>2</v>
      </c>
      <c r="B5" s="30" t="s">
        <v>3</v>
      </c>
      <c r="C5" s="7"/>
      <c r="D5" s="7"/>
      <c r="E5" s="7"/>
      <c r="F5" s="7"/>
      <c r="G5" s="7"/>
      <c r="H5" s="9"/>
    </row>
    <row r="6">
      <c r="A6" s="28" t="s">
        <v>1</v>
      </c>
      <c r="B6" s="30" t="s">
        <v>30</v>
      </c>
      <c r="C6" s="7"/>
      <c r="D6" s="7"/>
      <c r="E6" s="7"/>
      <c r="F6" s="7"/>
      <c r="G6" s="7"/>
      <c r="H6" s="9"/>
    </row>
    <row r="7">
      <c r="A7" s="35" t="s">
        <v>8</v>
      </c>
      <c r="B7" s="30" t="s">
        <v>3</v>
      </c>
      <c r="C7" s="7"/>
      <c r="D7" s="7"/>
      <c r="E7" s="7"/>
      <c r="F7" s="7"/>
      <c r="G7" s="7"/>
      <c r="H7" s="9"/>
    </row>
    <row r="8">
      <c r="A8" s="28" t="s">
        <v>5</v>
      </c>
      <c r="B8" s="30" t="s">
        <v>3</v>
      </c>
      <c r="C8" s="7"/>
      <c r="D8" s="7"/>
      <c r="E8" s="7"/>
      <c r="F8" s="7"/>
      <c r="G8" s="7"/>
      <c r="H8" s="9"/>
    </row>
    <row r="9">
      <c r="A9" s="28" t="s">
        <v>43</v>
      </c>
      <c r="B9" s="30">
        <v>9.870653889E9</v>
      </c>
      <c r="C9" s="7"/>
      <c r="D9" s="7"/>
      <c r="E9" s="7"/>
      <c r="F9" s="7"/>
      <c r="G9" s="7"/>
      <c r="H9" s="9"/>
    </row>
    <row r="10">
      <c r="A10" s="28" t="s">
        <v>9</v>
      </c>
      <c r="B10" s="42"/>
      <c r="C10" s="7"/>
      <c r="D10" s="7"/>
      <c r="E10" s="7"/>
      <c r="F10" s="7"/>
      <c r="G10" s="7"/>
      <c r="H10" s="9"/>
    </row>
    <row r="11">
      <c r="A11" s="19"/>
      <c r="B11" s="19"/>
      <c r="C11" s="19"/>
      <c r="D11" s="19"/>
      <c r="E11" s="19"/>
      <c r="F11" s="19"/>
      <c r="G11" s="19"/>
      <c r="H11" s="19"/>
    </row>
    <row r="12">
      <c r="A12" s="45" t="s">
        <v>60</v>
      </c>
      <c r="B12" s="6"/>
      <c r="C12" s="6"/>
      <c r="D12" s="6"/>
      <c r="E12" s="6"/>
      <c r="F12" s="6"/>
      <c r="G12" s="6"/>
      <c r="H12" s="6"/>
    </row>
    <row r="13" ht="36.75" customHeight="1">
      <c r="A13" s="47" t="s">
        <v>66</v>
      </c>
    </row>
    <row r="14" ht="36.75" customHeight="1">
      <c r="A14" s="47" t="s">
        <v>68</v>
      </c>
    </row>
    <row r="15" ht="36.75" customHeight="1">
      <c r="A15" s="47" t="s">
        <v>69</v>
      </c>
    </row>
    <row r="16" ht="36.75" customHeight="1">
      <c r="A16" s="47" t="s">
        <v>70</v>
      </c>
    </row>
    <row r="17" ht="36.75" customHeight="1">
      <c r="A17" s="47" t="s">
        <v>74</v>
      </c>
    </row>
    <row r="18" ht="36.75" customHeight="1">
      <c r="A18" s="47" t="s">
        <v>76</v>
      </c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45" t="s">
        <v>80</v>
      </c>
      <c r="B20" s="6"/>
      <c r="C20" s="6"/>
      <c r="D20" s="6"/>
      <c r="E20" s="6"/>
      <c r="F20" s="6"/>
      <c r="G20" s="6"/>
      <c r="H20" s="6"/>
    </row>
    <row r="21" ht="15.75" customHeight="1">
      <c r="A21" s="54" t="s">
        <v>84</v>
      </c>
      <c r="B21" s="54" t="s">
        <v>90</v>
      </c>
      <c r="C21" s="54" t="s">
        <v>84</v>
      </c>
      <c r="D21" s="54" t="s">
        <v>90</v>
      </c>
      <c r="E21" s="19"/>
      <c r="F21" s="19"/>
      <c r="G21" s="19"/>
      <c r="H21" s="19"/>
    </row>
    <row r="22" ht="15.75" customHeight="1">
      <c r="A22" s="19" t="s">
        <v>96</v>
      </c>
      <c r="B22" s="66">
        <f>COUNTA('Program details'!B5:B34)</f>
        <v>2</v>
      </c>
      <c r="C22" s="19" t="s">
        <v>110</v>
      </c>
      <c r="D22" s="66">
        <f>COUNTA('Faculty Details'!B6:B55)</f>
        <v>4</v>
      </c>
      <c r="E22" s="19"/>
      <c r="F22" s="19"/>
      <c r="G22" s="19"/>
      <c r="H22" s="19"/>
    </row>
    <row r="23" ht="15.75" customHeight="1">
      <c r="A23" s="19" t="s">
        <v>113</v>
      </c>
      <c r="B23" s="72">
        <f>SUM('Program details'!M5:M34)</f>
        <v>120</v>
      </c>
      <c r="C23" s="19" t="s">
        <v>115</v>
      </c>
      <c r="D23" s="66">
        <f>COUNTIF('Faculty Details'!F6:F55,"Yes")</f>
        <v>3</v>
      </c>
      <c r="E23" s="19"/>
      <c r="F23" s="19"/>
      <c r="G23" s="19"/>
      <c r="H23" s="19"/>
    </row>
    <row r="24" ht="15.75" customHeight="1">
      <c r="A24" s="19" t="s">
        <v>117</v>
      </c>
      <c r="B24" s="72">
        <f>SUM('Program details'!P5:P34)</f>
        <v>50</v>
      </c>
      <c r="C24" s="19" t="s">
        <v>119</v>
      </c>
      <c r="D24" s="66">
        <f>COUNTA('Infrastructure Utilization'!B5:B34)</f>
        <v>6</v>
      </c>
      <c r="E24" s="19"/>
      <c r="F24" s="19"/>
      <c r="G24" s="19"/>
      <c r="H24" s="19"/>
    </row>
    <row r="25" ht="15.75" customHeight="1">
      <c r="A25" s="19" t="s">
        <v>120</v>
      </c>
      <c r="B25" s="66">
        <f>COUNTIF('Program details'!S5:S34,"Yes")</f>
        <v>2</v>
      </c>
      <c r="C25" s="19" t="s">
        <v>122</v>
      </c>
      <c r="D25" s="66">
        <f>COUNTIF('Infrastructure Utilization'!K5:K34,"Yes")</f>
        <v>0</v>
      </c>
      <c r="E25" s="19"/>
      <c r="F25" s="19"/>
      <c r="G25" s="19"/>
      <c r="H25" s="19"/>
    </row>
    <row r="26" ht="15.75" customHeight="1">
      <c r="A26" s="19"/>
      <c r="B26" s="19"/>
      <c r="C26" s="19" t="s">
        <v>127</v>
      </c>
      <c r="D26" s="66">
        <f>COUNTIF('Infrastructure Utilization'!L6:L35,"Yes")</f>
        <v>3</v>
      </c>
      <c r="E26" s="19"/>
      <c r="F26" s="19"/>
      <c r="G26" s="19"/>
      <c r="H26" s="19"/>
    </row>
    <row r="27" ht="15.75" customHeight="1">
      <c r="A27" s="45" t="s">
        <v>130</v>
      </c>
      <c r="B27" s="6"/>
      <c r="C27" s="6"/>
      <c r="D27" s="6"/>
      <c r="E27" s="6"/>
      <c r="F27" s="6"/>
      <c r="G27" s="6"/>
      <c r="H27" s="6"/>
    </row>
    <row r="28" ht="31.5" customHeight="1">
      <c r="A28" s="93" t="s">
        <v>131</v>
      </c>
      <c r="B28" s="25"/>
      <c r="C28" s="25"/>
      <c r="D28" s="25"/>
      <c r="E28" s="25"/>
      <c r="F28" s="25"/>
      <c r="G28" s="25"/>
      <c r="H28" s="25"/>
    </row>
    <row r="29" ht="31.5" customHeight="1">
      <c r="A29" s="95"/>
    </row>
    <row r="30" ht="31.5" customHeight="1">
      <c r="A30" s="9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0.43"/>
    <col customWidth="1" min="4" max="4" width="24.71"/>
    <col customWidth="1" min="6" max="6" width="24.86"/>
    <col customWidth="1" min="7" max="7" width="22.43"/>
    <col customWidth="1" min="8" max="8" width="28.14"/>
    <col customWidth="1" min="10" max="10" width="32.43"/>
    <col customWidth="1" min="13" max="13" width="24.29"/>
    <col customWidth="1" min="14" max="14" width="28.71"/>
    <col customWidth="1" min="15" max="15" width="36.86"/>
    <col customWidth="1" min="18" max="18" width="23.86"/>
    <col customWidth="1" min="19" max="19" width="21.43"/>
    <col customWidth="1" min="27" max="27" width="19.86"/>
    <col customWidth="1" min="28" max="28" width="25.0"/>
    <col customWidth="1" min="29" max="29" width="29.71"/>
    <col customWidth="1" min="30" max="30" width="31.86"/>
    <col customWidth="1" min="31" max="31" width="24.29"/>
    <col customWidth="1" min="35" max="35" width="23.57"/>
    <col customWidth="1" min="36" max="36" width="16.29"/>
  </cols>
  <sheetData>
    <row r="1">
      <c r="A1" s="129" t="s">
        <v>152</v>
      </c>
    </row>
    <row r="2">
      <c r="A2" s="130" t="s">
        <v>1</v>
      </c>
      <c r="B2" s="131" t="s">
        <v>30</v>
      </c>
      <c r="G2" s="130" t="s">
        <v>5</v>
      </c>
      <c r="H2" s="131" t="s">
        <v>3</v>
      </c>
      <c r="M2" s="132" t="s">
        <v>153</v>
      </c>
      <c r="N2" s="133" t="s">
        <v>154</v>
      </c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</row>
    <row r="3">
      <c r="A3" s="135" t="s">
        <v>155</v>
      </c>
    </row>
    <row r="4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</row>
    <row r="5">
      <c r="A5" s="136" t="s">
        <v>156</v>
      </c>
      <c r="B5" s="137">
        <v>4.0</v>
      </c>
      <c r="C5" s="134"/>
      <c r="D5" s="136" t="s">
        <v>157</v>
      </c>
      <c r="E5" s="137">
        <v>15.0</v>
      </c>
      <c r="F5" s="134"/>
      <c r="G5" s="136" t="s">
        <v>158</v>
      </c>
      <c r="H5" s="137">
        <v>12.0</v>
      </c>
      <c r="I5" s="134"/>
      <c r="J5" s="136" t="s">
        <v>159</v>
      </c>
      <c r="K5" s="137">
        <v>6.0</v>
      </c>
      <c r="L5" s="134"/>
      <c r="M5" s="136" t="s">
        <v>160</v>
      </c>
      <c r="N5" s="137">
        <v>9.0</v>
      </c>
      <c r="O5" s="134"/>
      <c r="P5" s="136" t="s">
        <v>161</v>
      </c>
      <c r="Q5" s="137" t="s">
        <v>40</v>
      </c>
      <c r="R5" s="134"/>
      <c r="S5" s="136" t="s">
        <v>162</v>
      </c>
      <c r="T5" s="138">
        <v>0.875</v>
      </c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</row>
    <row r="6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</row>
    <row r="7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</row>
    <row r="8">
      <c r="A8" s="139" t="s">
        <v>163</v>
      </c>
      <c r="F8" s="139" t="s">
        <v>164</v>
      </c>
      <c r="K8" s="141" t="s">
        <v>165</v>
      </c>
      <c r="R8" s="142" t="s">
        <v>166</v>
      </c>
      <c r="V8" s="143" t="s">
        <v>167</v>
      </c>
      <c r="AB8" s="144" t="s">
        <v>168</v>
      </c>
      <c r="AF8" s="144" t="s">
        <v>169</v>
      </c>
      <c r="AJ8" s="146" t="s">
        <v>170</v>
      </c>
      <c r="AK8" s="147" t="s">
        <v>171</v>
      </c>
    </row>
    <row r="9">
      <c r="A9" s="148" t="s">
        <v>172</v>
      </c>
      <c r="B9" s="149" t="s">
        <v>2</v>
      </c>
      <c r="C9" s="149" t="s">
        <v>37</v>
      </c>
      <c r="D9" s="149" t="s">
        <v>173</v>
      </c>
      <c r="E9" s="149" t="s">
        <v>41</v>
      </c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 t="s">
        <v>180</v>
      </c>
      <c r="M9" s="149" t="s">
        <v>160</v>
      </c>
      <c r="N9" s="149" t="s">
        <v>181</v>
      </c>
      <c r="O9" s="149" t="s">
        <v>182</v>
      </c>
      <c r="P9" s="149" t="s">
        <v>183</v>
      </c>
      <c r="Q9" s="149" t="s">
        <v>184</v>
      </c>
      <c r="R9" s="149" t="s">
        <v>185</v>
      </c>
      <c r="S9" s="149" t="s">
        <v>186</v>
      </c>
      <c r="T9" s="149" t="s">
        <v>187</v>
      </c>
      <c r="U9" s="149" t="s">
        <v>188</v>
      </c>
      <c r="V9" s="149" t="s">
        <v>189</v>
      </c>
      <c r="W9" s="149" t="s">
        <v>190</v>
      </c>
      <c r="X9" s="149" t="s">
        <v>191</v>
      </c>
      <c r="Y9" s="149" t="s">
        <v>192</v>
      </c>
      <c r="Z9" s="149" t="s">
        <v>193</v>
      </c>
      <c r="AA9" s="149" t="s">
        <v>194</v>
      </c>
      <c r="AB9" s="149" t="s">
        <v>195</v>
      </c>
      <c r="AC9" s="149" t="s">
        <v>196</v>
      </c>
      <c r="AD9" s="149" t="s">
        <v>197</v>
      </c>
      <c r="AE9" s="149" t="s">
        <v>198</v>
      </c>
      <c r="AF9" s="149" t="s">
        <v>199</v>
      </c>
      <c r="AG9" s="149" t="s">
        <v>200</v>
      </c>
      <c r="AH9" s="149" t="s">
        <v>201</v>
      </c>
      <c r="AI9" s="149" t="s">
        <v>202</v>
      </c>
      <c r="AJ9" s="149" t="s">
        <v>203</v>
      </c>
      <c r="AK9" s="149" t="s">
        <v>204</v>
      </c>
      <c r="AL9" s="149" t="s">
        <v>205</v>
      </c>
      <c r="AM9" s="150" t="s">
        <v>206</v>
      </c>
    </row>
    <row r="10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3"/>
    </row>
    <row r="11">
      <c r="A11" s="154">
        <v>1.0</v>
      </c>
      <c r="B11" s="155" t="s">
        <v>3</v>
      </c>
      <c r="C11" s="155" t="s">
        <v>42</v>
      </c>
      <c r="D11" s="155" t="s">
        <v>94</v>
      </c>
      <c r="E11" s="156">
        <v>44816.0</v>
      </c>
      <c r="F11" s="157">
        <v>1.0</v>
      </c>
      <c r="G11" s="157">
        <v>1.0</v>
      </c>
      <c r="H11" s="157">
        <v>1.0</v>
      </c>
      <c r="I11" s="157">
        <v>1.0</v>
      </c>
      <c r="J11" s="155">
        <v>1.0</v>
      </c>
      <c r="K11" s="158">
        <v>2.0</v>
      </c>
      <c r="L11" s="155" t="s">
        <v>40</v>
      </c>
      <c r="M11" s="158">
        <v>500000.0</v>
      </c>
      <c r="N11" s="155" t="s">
        <v>207</v>
      </c>
      <c r="O11" s="159" t="s">
        <v>208</v>
      </c>
      <c r="P11" s="155" t="s">
        <v>209</v>
      </c>
      <c r="Q11" s="155" t="s">
        <v>40</v>
      </c>
      <c r="R11" s="157" t="s">
        <v>40</v>
      </c>
      <c r="S11" s="155" t="s">
        <v>40</v>
      </c>
      <c r="T11" s="155" t="s">
        <v>40</v>
      </c>
      <c r="U11" s="155" t="s">
        <v>40</v>
      </c>
      <c r="V11" s="155" t="s">
        <v>40</v>
      </c>
      <c r="W11" s="155" t="s">
        <v>40</v>
      </c>
      <c r="X11" s="155" t="s">
        <v>40</v>
      </c>
      <c r="Y11" s="155" t="s">
        <v>40</v>
      </c>
      <c r="Z11" s="155" t="s">
        <v>40</v>
      </c>
      <c r="AA11" s="155" t="s">
        <v>210</v>
      </c>
      <c r="AB11" s="155" t="s">
        <v>211</v>
      </c>
      <c r="AC11" s="155" t="s">
        <v>212</v>
      </c>
      <c r="AD11" s="155" t="s">
        <v>211</v>
      </c>
      <c r="AE11" s="155" t="s">
        <v>212</v>
      </c>
      <c r="AF11" s="160" t="s">
        <v>211</v>
      </c>
      <c r="AG11" s="155" t="s">
        <v>40</v>
      </c>
      <c r="AH11" s="155" t="s">
        <v>40</v>
      </c>
      <c r="AI11" s="155" t="s">
        <v>40</v>
      </c>
      <c r="AJ11" s="157">
        <v>90.0</v>
      </c>
      <c r="AK11" s="155" t="s">
        <v>213</v>
      </c>
      <c r="AL11" s="161"/>
      <c r="AM11" s="162"/>
    </row>
    <row r="12">
      <c r="A12" s="154">
        <v>2.0</v>
      </c>
      <c r="B12" s="155" t="s">
        <v>126</v>
      </c>
      <c r="C12" s="155" t="s">
        <v>47</v>
      </c>
      <c r="D12" s="155" t="s">
        <v>94</v>
      </c>
      <c r="E12" s="156">
        <v>43413.0</v>
      </c>
      <c r="F12" s="157">
        <v>1.0</v>
      </c>
      <c r="G12" s="157">
        <v>1.0</v>
      </c>
      <c r="H12" s="157">
        <v>1.0</v>
      </c>
      <c r="I12" s="157">
        <v>1.0</v>
      </c>
      <c r="J12" s="157">
        <v>1.0</v>
      </c>
      <c r="K12" s="157" t="s">
        <v>40</v>
      </c>
      <c r="L12" s="155" t="s">
        <v>40</v>
      </c>
      <c r="M12" s="155" t="s">
        <v>40</v>
      </c>
      <c r="N12" s="155" t="s">
        <v>40</v>
      </c>
      <c r="O12" s="155" t="s">
        <v>40</v>
      </c>
      <c r="P12" s="155" t="s">
        <v>40</v>
      </c>
      <c r="Q12" s="155" t="s">
        <v>40</v>
      </c>
      <c r="R12" s="155" t="s">
        <v>40</v>
      </c>
      <c r="S12" s="155" t="s">
        <v>40</v>
      </c>
      <c r="T12" s="155" t="s">
        <v>40</v>
      </c>
      <c r="U12" s="155" t="s">
        <v>40</v>
      </c>
      <c r="V12" s="155" t="s">
        <v>40</v>
      </c>
      <c r="W12" s="155" t="s">
        <v>40</v>
      </c>
      <c r="X12" s="155" t="s">
        <v>40</v>
      </c>
      <c r="Y12" s="155" t="s">
        <v>40</v>
      </c>
      <c r="Z12" s="155" t="s">
        <v>40</v>
      </c>
      <c r="AA12" s="155" t="s">
        <v>40</v>
      </c>
      <c r="AB12" s="160" t="s">
        <v>211</v>
      </c>
      <c r="AC12" s="160" t="s">
        <v>211</v>
      </c>
      <c r="AD12" s="160" t="s">
        <v>214</v>
      </c>
      <c r="AE12" s="155" t="s">
        <v>215</v>
      </c>
      <c r="AF12" s="160" t="s">
        <v>211</v>
      </c>
      <c r="AG12" s="155" t="s">
        <v>40</v>
      </c>
      <c r="AH12" s="155" t="s">
        <v>40</v>
      </c>
      <c r="AI12" s="155" t="s">
        <v>40</v>
      </c>
      <c r="AJ12" s="155">
        <v>88.0</v>
      </c>
      <c r="AK12" s="155" t="s">
        <v>40</v>
      </c>
      <c r="AL12" s="155" t="s">
        <v>40</v>
      </c>
      <c r="AM12" s="155" t="s">
        <v>40</v>
      </c>
    </row>
    <row r="13">
      <c r="A13" s="154">
        <v>3.0</v>
      </c>
      <c r="B13" s="155" t="s">
        <v>132</v>
      </c>
      <c r="C13" s="155" t="s">
        <v>47</v>
      </c>
      <c r="D13" s="155" t="s">
        <v>94</v>
      </c>
      <c r="E13" s="156">
        <v>43566.0</v>
      </c>
      <c r="F13" s="157">
        <v>2.0</v>
      </c>
      <c r="G13" s="157">
        <v>1.0</v>
      </c>
      <c r="H13" s="157">
        <v>2.0</v>
      </c>
      <c r="I13" s="157">
        <v>4.0</v>
      </c>
      <c r="J13" s="157">
        <v>1.0</v>
      </c>
      <c r="K13" s="157">
        <v>2.0</v>
      </c>
      <c r="L13" s="155" t="s">
        <v>40</v>
      </c>
      <c r="M13" s="155">
        <v>250000.0</v>
      </c>
      <c r="N13" s="155" t="s">
        <v>216</v>
      </c>
      <c r="O13" s="155" t="s">
        <v>217</v>
      </c>
      <c r="P13" s="155" t="s">
        <v>209</v>
      </c>
      <c r="Q13" s="155" t="s">
        <v>40</v>
      </c>
      <c r="R13" s="155" t="s">
        <v>40</v>
      </c>
      <c r="S13" s="155" t="s">
        <v>40</v>
      </c>
      <c r="T13" s="155" t="s">
        <v>40</v>
      </c>
      <c r="U13" s="155" t="s">
        <v>40</v>
      </c>
      <c r="V13" s="155" t="s">
        <v>40</v>
      </c>
      <c r="W13" s="155" t="s">
        <v>40</v>
      </c>
      <c r="X13" s="155" t="s">
        <v>40</v>
      </c>
      <c r="Y13" s="155" t="s">
        <v>40</v>
      </c>
      <c r="Z13" s="155" t="s">
        <v>40</v>
      </c>
      <c r="AA13" s="155" t="s">
        <v>218</v>
      </c>
      <c r="AB13" s="160" t="s">
        <v>219</v>
      </c>
      <c r="AC13" s="155" t="s">
        <v>212</v>
      </c>
      <c r="AD13" s="155" t="s">
        <v>212</v>
      </c>
      <c r="AE13" s="155" t="s">
        <v>215</v>
      </c>
      <c r="AF13" s="160" t="s">
        <v>220</v>
      </c>
      <c r="AG13" s="155" t="s">
        <v>40</v>
      </c>
      <c r="AH13" s="155" t="s">
        <v>40</v>
      </c>
      <c r="AI13" s="155" t="s">
        <v>40</v>
      </c>
      <c r="AJ13" s="155">
        <v>85.0</v>
      </c>
      <c r="AK13" s="155" t="s">
        <v>40</v>
      </c>
      <c r="AL13" s="155" t="s">
        <v>40</v>
      </c>
      <c r="AM13" s="155" t="s">
        <v>40</v>
      </c>
    </row>
    <row r="14">
      <c r="A14" s="154">
        <v>4.0</v>
      </c>
      <c r="B14" s="155" t="s">
        <v>140</v>
      </c>
      <c r="C14" s="155" t="s">
        <v>47</v>
      </c>
      <c r="D14" s="155" t="s">
        <v>94</v>
      </c>
      <c r="E14" s="156">
        <v>43596.0</v>
      </c>
      <c r="F14" s="157">
        <v>1.0</v>
      </c>
      <c r="G14" s="157">
        <v>2.0</v>
      </c>
      <c r="H14" s="157">
        <v>1.0</v>
      </c>
      <c r="I14" s="157">
        <v>2.0</v>
      </c>
      <c r="J14" s="157">
        <v>1.0</v>
      </c>
      <c r="K14" s="157">
        <v>2.0</v>
      </c>
      <c r="L14" s="155" t="s">
        <v>40</v>
      </c>
      <c r="M14" s="155">
        <v>150000.0</v>
      </c>
      <c r="N14" s="155" t="s">
        <v>216</v>
      </c>
      <c r="O14" s="155" t="s">
        <v>221</v>
      </c>
      <c r="P14" s="155" t="s">
        <v>209</v>
      </c>
      <c r="Q14" s="155" t="s">
        <v>40</v>
      </c>
      <c r="R14" s="155" t="s">
        <v>40</v>
      </c>
      <c r="S14" s="155" t="s">
        <v>40</v>
      </c>
      <c r="T14" s="155" t="s">
        <v>40</v>
      </c>
      <c r="U14" s="155" t="s">
        <v>40</v>
      </c>
      <c r="V14" s="155" t="s">
        <v>40</v>
      </c>
      <c r="W14" s="155" t="s">
        <v>40</v>
      </c>
      <c r="X14" s="155" t="s">
        <v>40</v>
      </c>
      <c r="Y14" s="155" t="s">
        <v>40</v>
      </c>
      <c r="Z14" s="155" t="s">
        <v>40</v>
      </c>
      <c r="AA14" s="155" t="s">
        <v>218</v>
      </c>
      <c r="AB14" s="160" t="s">
        <v>222</v>
      </c>
      <c r="AC14" s="155" t="s">
        <v>212</v>
      </c>
      <c r="AD14" s="155" t="s">
        <v>212</v>
      </c>
      <c r="AE14" s="155" t="s">
        <v>215</v>
      </c>
      <c r="AF14" s="160" t="s">
        <v>222</v>
      </c>
      <c r="AG14" s="155" t="s">
        <v>40</v>
      </c>
      <c r="AH14" s="155" t="s">
        <v>40</v>
      </c>
      <c r="AI14" s="155" t="s">
        <v>40</v>
      </c>
      <c r="AJ14" s="155">
        <v>87.0</v>
      </c>
      <c r="AK14" s="155" t="s">
        <v>40</v>
      </c>
      <c r="AL14" s="155" t="s">
        <v>40</v>
      </c>
      <c r="AM14" s="155" t="s">
        <v>40</v>
      </c>
    </row>
    <row r="15">
      <c r="A15" s="163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59" t="s">
        <v>208</v>
      </c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5"/>
    </row>
    <row r="16">
      <c r="A16" s="163"/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5"/>
    </row>
    <row r="17">
      <c r="A17" s="163"/>
      <c r="B17" s="164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5"/>
    </row>
    <row r="18">
      <c r="A18" s="163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5"/>
    </row>
    <row r="19">
      <c r="A19" s="163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5"/>
    </row>
    <row r="20">
      <c r="A20" s="163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5"/>
    </row>
    <row r="21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5"/>
    </row>
    <row r="22">
      <c r="A22" s="163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5"/>
    </row>
    <row r="23">
      <c r="A23" s="163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5"/>
    </row>
    <row r="24">
      <c r="A24" s="163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5"/>
    </row>
    <row r="25">
      <c r="A25" s="163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5"/>
    </row>
    <row r="26">
      <c r="A26" s="163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5"/>
    </row>
    <row r="27">
      <c r="A27" s="163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5"/>
    </row>
    <row r="28">
      <c r="A28" s="163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5"/>
    </row>
    <row r="29">
      <c r="A29" s="163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5"/>
    </row>
    <row r="30">
      <c r="A30" s="163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5"/>
    </row>
    <row r="31">
      <c r="A31" s="163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5"/>
    </row>
    <row r="32">
      <c r="A32" s="163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5"/>
    </row>
    <row r="33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5"/>
    </row>
    <row r="34">
      <c r="A34" s="163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5"/>
    </row>
    <row r="35">
      <c r="A35" s="163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5"/>
    </row>
    <row r="36">
      <c r="A36" s="163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5"/>
    </row>
    <row r="37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5"/>
    </row>
    <row r="38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5"/>
    </row>
    <row r="39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5"/>
    </row>
    <row r="40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5"/>
    </row>
    <row r="41">
      <c r="A41" s="163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5"/>
    </row>
    <row r="42">
      <c r="A42" s="163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5"/>
    </row>
    <row r="43">
      <c r="A43" s="163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5"/>
    </row>
    <row r="44">
      <c r="A44" s="163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5"/>
    </row>
    <row r="45">
      <c r="A45" s="163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5"/>
    </row>
    <row r="46">
      <c r="A46" s="163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5"/>
    </row>
    <row r="47">
      <c r="A47" s="163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5"/>
    </row>
    <row r="48">
      <c r="A48" s="163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5"/>
    </row>
    <row r="49">
      <c r="A49" s="163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5"/>
    </row>
    <row r="50">
      <c r="A50" s="163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5"/>
    </row>
    <row r="51">
      <c r="A51" s="163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5"/>
    </row>
    <row r="52">
      <c r="A52" s="163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5"/>
    </row>
    <row r="53">
      <c r="A53" s="163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5"/>
    </row>
    <row r="54">
      <c r="A54" s="163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5"/>
    </row>
    <row r="55">
      <c r="A55" s="163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5"/>
    </row>
    <row r="56">
      <c r="A56" s="163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5"/>
    </row>
    <row r="57">
      <c r="A57" s="163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5"/>
    </row>
    <row r="58">
      <c r="A58" s="163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5"/>
    </row>
    <row r="59">
      <c r="A59" s="163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5"/>
    </row>
    <row r="60">
      <c r="A60" s="172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4"/>
    </row>
    <row r="6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</row>
    <row r="6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</row>
    <row r="63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</row>
    <row r="64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</row>
    <row r="6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</row>
    <row r="66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</row>
    <row r="67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</row>
    <row r="68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</row>
    <row r="6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</row>
    <row r="70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</row>
    <row r="7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</row>
    <row r="7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</row>
    <row r="7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</row>
    <row r="74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</row>
    <row r="7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</row>
    <row r="76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</row>
    <row r="77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</row>
    <row r="78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</row>
    <row r="79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</row>
    <row r="80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</row>
    <row r="8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</row>
    <row r="82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</row>
    <row r="8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</row>
    <row r="84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</row>
    <row r="8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</row>
    <row r="86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</row>
    <row r="8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</row>
    <row r="88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</row>
    <row r="89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</row>
    <row r="90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</row>
    <row r="9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</row>
    <row r="9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</row>
    <row r="9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</row>
    <row r="94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</row>
    <row r="9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</row>
    <row r="96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</row>
    <row r="9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</row>
    <row r="98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</row>
    <row r="99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</row>
    <row r="100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</row>
    <row r="10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</row>
    <row r="10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</row>
    <row r="10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</row>
    <row r="104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</row>
    <row r="10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</row>
    <row r="106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</row>
    <row r="10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</row>
    <row r="108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</row>
    <row r="109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</row>
    <row r="110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</row>
    <row r="11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</row>
    <row r="112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</row>
    <row r="1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</row>
    <row r="114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</row>
    <row r="11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</row>
    <row r="11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</row>
    <row r="11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</row>
    <row r="118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</row>
    <row r="119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</row>
    <row r="120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</row>
    <row r="12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</row>
    <row r="12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</row>
    <row r="12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</row>
    <row r="124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</row>
    <row r="1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</row>
    <row r="126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</row>
    <row r="127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</row>
    <row r="128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</row>
    <row r="129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</row>
    <row r="138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</row>
    <row r="139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</row>
    <row r="146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</row>
    <row r="147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</row>
    <row r="148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</row>
    <row r="149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</row>
    <row r="150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</row>
    <row r="15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</row>
    <row r="15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</row>
    <row r="15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</row>
    <row r="154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</row>
    <row r="15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</row>
    <row r="156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</row>
    <row r="157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</row>
    <row r="158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</row>
    <row r="159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</row>
    <row r="160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</row>
    <row r="16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</row>
    <row r="16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</row>
    <row r="16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</row>
    <row r="164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</row>
    <row r="16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</row>
    <row r="166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</row>
    <row r="167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</row>
    <row r="168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</row>
    <row r="169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</row>
    <row r="170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</row>
    <row r="17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</row>
    <row r="17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</row>
    <row r="17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</row>
    <row r="174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</row>
    <row r="17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4"/>
      <c r="AI276" s="134"/>
      <c r="AJ276" s="134"/>
      <c r="AK276" s="134"/>
      <c r="AL276" s="134"/>
      <c r="AM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4"/>
      <c r="AI277" s="134"/>
      <c r="AJ277" s="134"/>
      <c r="AK277" s="134"/>
      <c r="AL277" s="134"/>
      <c r="AM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134"/>
      <c r="AM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134"/>
      <c r="AM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134"/>
      <c r="AM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134"/>
      <c r="AM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134"/>
      <c r="AM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134"/>
      <c r="AM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134"/>
      <c r="AM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134"/>
      <c r="AM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134"/>
      <c r="AM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134"/>
      <c r="AM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134"/>
      <c r="AM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134"/>
      <c r="AM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134"/>
      <c r="AM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134"/>
      <c r="AM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134"/>
      <c r="AM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134"/>
      <c r="AM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134"/>
      <c r="AM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134"/>
      <c r="AM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134"/>
      <c r="AM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134"/>
      <c r="AM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134"/>
      <c r="AM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134"/>
      <c r="AM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134"/>
      <c r="AM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134"/>
      <c r="AM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134"/>
      <c r="AM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134"/>
      <c r="AM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134"/>
      <c r="AM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4"/>
      <c r="AI381" s="134"/>
      <c r="AJ381" s="134"/>
      <c r="AK381" s="134"/>
      <c r="AL381" s="134"/>
      <c r="AM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4"/>
      <c r="AI382" s="134"/>
      <c r="AJ382" s="134"/>
      <c r="AK382" s="134"/>
      <c r="AL382" s="134"/>
      <c r="AM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4"/>
      <c r="AI383" s="134"/>
      <c r="AJ383" s="134"/>
      <c r="AK383" s="134"/>
      <c r="AL383" s="134"/>
      <c r="AM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4"/>
      <c r="AI384" s="134"/>
      <c r="AJ384" s="134"/>
      <c r="AK384" s="134"/>
      <c r="AL384" s="134"/>
      <c r="AM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4"/>
      <c r="AI385" s="134"/>
      <c r="AJ385" s="134"/>
      <c r="AK385" s="134"/>
      <c r="AL385" s="134"/>
      <c r="AM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4"/>
      <c r="AI386" s="134"/>
      <c r="AJ386" s="134"/>
      <c r="AK386" s="134"/>
      <c r="AL386" s="134"/>
      <c r="AM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4"/>
      <c r="AJ387" s="134"/>
      <c r="AK387" s="134"/>
      <c r="AL387" s="134"/>
      <c r="AM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4"/>
      <c r="AJ388" s="134"/>
      <c r="AK388" s="134"/>
      <c r="AL388" s="134"/>
      <c r="AM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4"/>
      <c r="AJ389" s="134"/>
      <c r="AK389" s="134"/>
      <c r="AL389" s="134"/>
      <c r="AM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4"/>
      <c r="AJ390" s="134"/>
      <c r="AK390" s="134"/>
      <c r="AL390" s="134"/>
      <c r="AM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4"/>
      <c r="AJ392" s="134"/>
      <c r="AK392" s="134"/>
      <c r="AL392" s="134"/>
      <c r="AM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4"/>
      <c r="AJ393" s="134"/>
      <c r="AK393" s="134"/>
      <c r="AL393" s="134"/>
      <c r="AM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  <c r="AM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  <c r="AM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4"/>
      <c r="AI418" s="134"/>
      <c r="AJ418" s="134"/>
      <c r="AK418" s="134"/>
      <c r="AL418" s="134"/>
      <c r="AM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4"/>
      <c r="AI419" s="134"/>
      <c r="AJ419" s="134"/>
      <c r="AK419" s="134"/>
      <c r="AL419" s="134"/>
      <c r="AM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134"/>
      <c r="AL421" s="134"/>
      <c r="AM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4"/>
      <c r="AI422" s="134"/>
      <c r="AJ422" s="134"/>
      <c r="AK422" s="134"/>
      <c r="AL422" s="134"/>
      <c r="AM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4"/>
      <c r="AI424" s="134"/>
      <c r="AJ424" s="134"/>
      <c r="AK424" s="134"/>
      <c r="AL424" s="134"/>
      <c r="AM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4"/>
      <c r="AI425" s="134"/>
      <c r="AJ425" s="134"/>
      <c r="AK425" s="134"/>
      <c r="AL425" s="134"/>
      <c r="AM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  <c r="AJ426" s="134"/>
      <c r="AK426" s="134"/>
      <c r="AL426" s="134"/>
      <c r="AM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4"/>
      <c r="AI428" s="134"/>
      <c r="AJ428" s="134"/>
      <c r="AK428" s="134"/>
      <c r="AL428" s="134"/>
      <c r="AM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4"/>
      <c r="AI429" s="134"/>
      <c r="AJ429" s="134"/>
      <c r="AK429" s="134"/>
      <c r="AL429" s="134"/>
      <c r="AM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  <c r="AM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4"/>
      <c r="AI433" s="134"/>
      <c r="AJ433" s="134"/>
      <c r="AK433" s="134"/>
      <c r="AL433" s="134"/>
      <c r="AM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4"/>
      <c r="AK434" s="134"/>
      <c r="AL434" s="134"/>
      <c r="AM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4"/>
      <c r="AI435" s="134"/>
      <c r="AJ435" s="134"/>
      <c r="AK435" s="134"/>
      <c r="AL435" s="134"/>
      <c r="AM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4"/>
      <c r="AI436" s="134"/>
      <c r="AJ436" s="134"/>
      <c r="AK436" s="134"/>
      <c r="AL436" s="134"/>
      <c r="AM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4"/>
      <c r="AI437" s="134"/>
      <c r="AJ437" s="134"/>
      <c r="AK437" s="134"/>
      <c r="AL437" s="134"/>
      <c r="AM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4"/>
      <c r="AI438" s="134"/>
      <c r="AJ438" s="134"/>
      <c r="AK438" s="134"/>
      <c r="AL438" s="134"/>
      <c r="AM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4"/>
      <c r="AI439" s="134"/>
      <c r="AJ439" s="134"/>
      <c r="AK439" s="134"/>
      <c r="AL439" s="134"/>
      <c r="AM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4"/>
      <c r="AL440" s="134"/>
      <c r="AM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4"/>
      <c r="AL441" s="134"/>
      <c r="AM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4"/>
      <c r="AI442" s="134"/>
      <c r="AJ442" s="134"/>
      <c r="AK442" s="134"/>
      <c r="AL442" s="134"/>
      <c r="AM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4"/>
      <c r="AI454" s="134"/>
      <c r="AJ454" s="134"/>
      <c r="AK454" s="134"/>
      <c r="AL454" s="134"/>
      <c r="AM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4"/>
      <c r="AI456" s="134"/>
      <c r="AJ456" s="134"/>
      <c r="AK456" s="134"/>
      <c r="AL456" s="134"/>
      <c r="AM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4"/>
      <c r="AI457" s="134"/>
      <c r="AJ457" s="134"/>
      <c r="AK457" s="134"/>
      <c r="AL457" s="134"/>
      <c r="AM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4"/>
      <c r="AI458" s="134"/>
      <c r="AJ458" s="134"/>
      <c r="AK458" s="134"/>
      <c r="AL458" s="134"/>
      <c r="AM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4"/>
      <c r="AI459" s="134"/>
      <c r="AJ459" s="134"/>
      <c r="AK459" s="134"/>
      <c r="AL459" s="134"/>
      <c r="AM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4"/>
      <c r="AI460" s="134"/>
      <c r="AJ460" s="134"/>
      <c r="AK460" s="134"/>
      <c r="AL460" s="134"/>
      <c r="AM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4"/>
      <c r="AI461" s="134"/>
      <c r="AJ461" s="134"/>
      <c r="AK461" s="134"/>
      <c r="AL461" s="134"/>
      <c r="AM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4"/>
      <c r="AI462" s="134"/>
      <c r="AJ462" s="134"/>
      <c r="AK462" s="134"/>
      <c r="AL462" s="134"/>
      <c r="AM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4"/>
      <c r="AI463" s="134"/>
      <c r="AJ463" s="134"/>
      <c r="AK463" s="134"/>
      <c r="AL463" s="134"/>
      <c r="AM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4"/>
      <c r="AI464" s="134"/>
      <c r="AJ464" s="134"/>
      <c r="AK464" s="134"/>
      <c r="AL464" s="134"/>
      <c r="AM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4"/>
      <c r="AI468" s="134"/>
      <c r="AJ468" s="134"/>
      <c r="AK468" s="134"/>
      <c r="AL468" s="134"/>
      <c r="AM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4"/>
      <c r="AI469" s="134"/>
      <c r="AJ469" s="134"/>
      <c r="AK469" s="134"/>
      <c r="AL469" s="134"/>
      <c r="AM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4"/>
      <c r="AI470" s="134"/>
      <c r="AJ470" s="134"/>
      <c r="AK470" s="134"/>
      <c r="AL470" s="134"/>
      <c r="AM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4"/>
      <c r="AI471" s="134"/>
      <c r="AJ471" s="134"/>
      <c r="AK471" s="134"/>
      <c r="AL471" s="134"/>
      <c r="AM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4"/>
      <c r="AI472" s="134"/>
      <c r="AJ472" s="134"/>
      <c r="AK472" s="134"/>
      <c r="AL472" s="134"/>
      <c r="AM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4"/>
      <c r="AJ493" s="134"/>
      <c r="AK493" s="134"/>
      <c r="AL493" s="134"/>
      <c r="AM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  <c r="AF503" s="134"/>
      <c r="AG503" s="134"/>
      <c r="AH503" s="134"/>
      <c r="AI503" s="134"/>
      <c r="AJ503" s="134"/>
      <c r="AK503" s="134"/>
      <c r="AL503" s="134"/>
      <c r="AM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  <c r="AF504" s="134"/>
      <c r="AG504" s="134"/>
      <c r="AH504" s="134"/>
      <c r="AI504" s="134"/>
      <c r="AJ504" s="134"/>
      <c r="AK504" s="134"/>
      <c r="AL504" s="134"/>
      <c r="AM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  <c r="AF505" s="134"/>
      <c r="AG505" s="134"/>
      <c r="AH505" s="134"/>
      <c r="AI505" s="134"/>
      <c r="AJ505" s="134"/>
      <c r="AK505" s="134"/>
      <c r="AL505" s="134"/>
      <c r="AM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  <c r="AF506" s="134"/>
      <c r="AG506" s="134"/>
      <c r="AH506" s="134"/>
      <c r="AI506" s="134"/>
      <c r="AJ506" s="134"/>
      <c r="AK506" s="134"/>
      <c r="AL506" s="134"/>
      <c r="AM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  <c r="AF507" s="134"/>
      <c r="AG507" s="134"/>
      <c r="AH507" s="134"/>
      <c r="AI507" s="134"/>
      <c r="AJ507" s="134"/>
      <c r="AK507" s="134"/>
      <c r="AL507" s="134"/>
      <c r="AM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  <c r="AF508" s="134"/>
      <c r="AG508" s="134"/>
      <c r="AH508" s="134"/>
      <c r="AI508" s="134"/>
      <c r="AJ508" s="134"/>
      <c r="AK508" s="134"/>
      <c r="AL508" s="134"/>
      <c r="AM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  <c r="AF509" s="134"/>
      <c r="AG509" s="134"/>
      <c r="AH509" s="134"/>
      <c r="AI509" s="134"/>
      <c r="AJ509" s="134"/>
      <c r="AK509" s="134"/>
      <c r="AL509" s="134"/>
      <c r="AM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  <c r="AF510" s="134"/>
      <c r="AG510" s="134"/>
      <c r="AH510" s="134"/>
      <c r="AI510" s="134"/>
      <c r="AJ510" s="134"/>
      <c r="AK510" s="134"/>
      <c r="AL510" s="134"/>
      <c r="AM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  <c r="AF512" s="134"/>
      <c r="AG512" s="134"/>
      <c r="AH512" s="134"/>
      <c r="AI512" s="134"/>
      <c r="AJ512" s="134"/>
      <c r="AK512" s="134"/>
      <c r="AL512" s="134"/>
      <c r="AM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  <c r="AF513" s="134"/>
      <c r="AG513" s="134"/>
      <c r="AH513" s="134"/>
      <c r="AI513" s="134"/>
      <c r="AJ513" s="134"/>
      <c r="AK513" s="134"/>
      <c r="AL513" s="134"/>
      <c r="AM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  <c r="AF514" s="134"/>
      <c r="AG514" s="134"/>
      <c r="AH514" s="134"/>
      <c r="AI514" s="134"/>
      <c r="AJ514" s="134"/>
      <c r="AK514" s="134"/>
      <c r="AL514" s="134"/>
      <c r="AM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4"/>
      <c r="AI515" s="134"/>
      <c r="AJ515" s="134"/>
      <c r="AK515" s="134"/>
      <c r="AL515" s="134"/>
      <c r="AM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4"/>
      <c r="AI516" s="134"/>
      <c r="AJ516" s="134"/>
      <c r="AK516" s="134"/>
      <c r="AL516" s="134"/>
      <c r="AM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4"/>
      <c r="AI517" s="134"/>
      <c r="AJ517" s="134"/>
      <c r="AK517" s="134"/>
      <c r="AL517" s="134"/>
      <c r="AM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4"/>
      <c r="AI518" s="134"/>
      <c r="AJ518" s="134"/>
      <c r="AK518" s="134"/>
      <c r="AL518" s="134"/>
      <c r="AM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4"/>
      <c r="AI519" s="134"/>
      <c r="AJ519" s="134"/>
      <c r="AK519" s="134"/>
      <c r="AL519" s="134"/>
      <c r="AM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4"/>
      <c r="AK520" s="134"/>
      <c r="AL520" s="134"/>
      <c r="AM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4"/>
      <c r="AI521" s="134"/>
      <c r="AJ521" s="134"/>
      <c r="AK521" s="134"/>
      <c r="AL521" s="134"/>
      <c r="AM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4"/>
      <c r="AI522" s="134"/>
      <c r="AJ522" s="134"/>
      <c r="AK522" s="134"/>
      <c r="AL522" s="134"/>
      <c r="AM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4"/>
      <c r="AI523" s="134"/>
      <c r="AJ523" s="134"/>
      <c r="AK523" s="134"/>
      <c r="AL523" s="134"/>
      <c r="AM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4"/>
      <c r="AI524" s="134"/>
      <c r="AJ524" s="134"/>
      <c r="AK524" s="134"/>
      <c r="AL524" s="134"/>
      <c r="AM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4"/>
      <c r="AI525" s="134"/>
      <c r="AJ525" s="134"/>
      <c r="AK525" s="134"/>
      <c r="AL525" s="134"/>
      <c r="AM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4"/>
      <c r="AI526" s="134"/>
      <c r="AJ526" s="134"/>
      <c r="AK526" s="134"/>
      <c r="AL526" s="134"/>
      <c r="AM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4"/>
      <c r="AI527" s="134"/>
      <c r="AJ527" s="134"/>
      <c r="AK527" s="134"/>
      <c r="AL527" s="134"/>
      <c r="AM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4"/>
      <c r="AI528" s="134"/>
      <c r="AJ528" s="134"/>
      <c r="AK528" s="134"/>
      <c r="AL528" s="134"/>
      <c r="AM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4"/>
      <c r="AI529" s="134"/>
      <c r="AJ529" s="134"/>
      <c r="AK529" s="134"/>
      <c r="AL529" s="134"/>
      <c r="AM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4"/>
      <c r="AI530" s="134"/>
      <c r="AJ530" s="134"/>
      <c r="AK530" s="134"/>
      <c r="AL530" s="134"/>
      <c r="AM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4"/>
      <c r="AI531" s="134"/>
      <c r="AJ531" s="134"/>
      <c r="AK531" s="134"/>
      <c r="AL531" s="134"/>
      <c r="AM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  <c r="AF532" s="134"/>
      <c r="AG532" s="134"/>
      <c r="AH532" s="134"/>
      <c r="AI532" s="134"/>
      <c r="AJ532" s="134"/>
      <c r="AK532" s="134"/>
      <c r="AL532" s="134"/>
      <c r="AM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  <c r="AF533" s="134"/>
      <c r="AG533" s="134"/>
      <c r="AH533" s="134"/>
      <c r="AI533" s="134"/>
      <c r="AJ533" s="134"/>
      <c r="AK533" s="134"/>
      <c r="AL533" s="134"/>
      <c r="AM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  <c r="AF534" s="134"/>
      <c r="AG534" s="134"/>
      <c r="AH534" s="134"/>
      <c r="AI534" s="134"/>
      <c r="AJ534" s="134"/>
      <c r="AK534" s="134"/>
      <c r="AL534" s="134"/>
      <c r="AM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4"/>
      <c r="AI535" s="134"/>
      <c r="AJ535" s="134"/>
      <c r="AK535" s="134"/>
      <c r="AL535" s="134"/>
      <c r="AM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4"/>
      <c r="AI536" s="134"/>
      <c r="AJ536" s="134"/>
      <c r="AK536" s="134"/>
      <c r="AL536" s="134"/>
      <c r="AM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4"/>
      <c r="AI537" s="134"/>
      <c r="AJ537" s="134"/>
      <c r="AK537" s="134"/>
      <c r="AL537" s="134"/>
      <c r="AM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4"/>
      <c r="AI538" s="134"/>
      <c r="AJ538" s="134"/>
      <c r="AK538" s="134"/>
      <c r="AL538" s="134"/>
      <c r="AM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4"/>
      <c r="AI539" s="134"/>
      <c r="AJ539" s="134"/>
      <c r="AK539" s="134"/>
      <c r="AL539" s="134"/>
      <c r="AM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4"/>
      <c r="AI540" s="134"/>
      <c r="AJ540" s="134"/>
      <c r="AK540" s="134"/>
      <c r="AL540" s="134"/>
      <c r="AM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4"/>
      <c r="AI541" s="134"/>
      <c r="AJ541" s="134"/>
      <c r="AK541" s="134"/>
      <c r="AL541" s="134"/>
      <c r="AM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4"/>
      <c r="AI542" s="134"/>
      <c r="AJ542" s="134"/>
      <c r="AK542" s="134"/>
      <c r="AL542" s="134"/>
      <c r="AM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4"/>
      <c r="AI543" s="134"/>
      <c r="AJ543" s="134"/>
      <c r="AK543" s="134"/>
      <c r="AL543" s="134"/>
      <c r="AM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4"/>
      <c r="AI544" s="134"/>
      <c r="AJ544" s="134"/>
      <c r="AK544" s="134"/>
      <c r="AL544" s="134"/>
      <c r="AM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4"/>
      <c r="AI545" s="134"/>
      <c r="AJ545" s="134"/>
      <c r="AK545" s="134"/>
      <c r="AL545" s="134"/>
      <c r="AM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4"/>
      <c r="AI546" s="134"/>
      <c r="AJ546" s="134"/>
      <c r="AK546" s="134"/>
      <c r="AL546" s="134"/>
      <c r="AM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4"/>
      <c r="AI547" s="134"/>
      <c r="AJ547" s="134"/>
      <c r="AK547" s="134"/>
      <c r="AL547" s="134"/>
      <c r="AM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  <c r="AF548" s="134"/>
      <c r="AG548" s="134"/>
      <c r="AH548" s="134"/>
      <c r="AI548" s="134"/>
      <c r="AJ548" s="134"/>
      <c r="AK548" s="134"/>
      <c r="AL548" s="134"/>
      <c r="AM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  <c r="AF549" s="134"/>
      <c r="AG549" s="134"/>
      <c r="AH549" s="134"/>
      <c r="AI549" s="134"/>
      <c r="AJ549" s="134"/>
      <c r="AK549" s="134"/>
      <c r="AL549" s="134"/>
      <c r="AM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  <c r="AF550" s="134"/>
      <c r="AG550" s="134"/>
      <c r="AH550" s="134"/>
      <c r="AI550" s="134"/>
      <c r="AJ550" s="134"/>
      <c r="AK550" s="134"/>
      <c r="AL550" s="134"/>
      <c r="AM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  <c r="AF551" s="134"/>
      <c r="AG551" s="134"/>
      <c r="AH551" s="134"/>
      <c r="AI551" s="134"/>
      <c r="AJ551" s="134"/>
      <c r="AK551" s="134"/>
      <c r="AL551" s="134"/>
      <c r="AM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  <c r="AF552" s="134"/>
      <c r="AG552" s="134"/>
      <c r="AH552" s="134"/>
      <c r="AI552" s="134"/>
      <c r="AJ552" s="134"/>
      <c r="AK552" s="134"/>
      <c r="AL552" s="134"/>
      <c r="AM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  <c r="AF553" s="134"/>
      <c r="AG553" s="134"/>
      <c r="AH553" s="134"/>
      <c r="AI553" s="134"/>
      <c r="AJ553" s="134"/>
      <c r="AK553" s="134"/>
      <c r="AL553" s="134"/>
      <c r="AM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  <c r="AF554" s="134"/>
      <c r="AG554" s="134"/>
      <c r="AH554" s="134"/>
      <c r="AI554" s="134"/>
      <c r="AJ554" s="134"/>
      <c r="AK554" s="134"/>
      <c r="AL554" s="134"/>
      <c r="AM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  <c r="AF555" s="134"/>
      <c r="AG555" s="134"/>
      <c r="AH555" s="134"/>
      <c r="AI555" s="134"/>
      <c r="AJ555" s="134"/>
      <c r="AK555" s="134"/>
      <c r="AL555" s="134"/>
      <c r="AM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  <c r="AF556" s="134"/>
      <c r="AG556" s="134"/>
      <c r="AH556" s="134"/>
      <c r="AI556" s="134"/>
      <c r="AJ556" s="134"/>
      <c r="AK556" s="134"/>
      <c r="AL556" s="134"/>
      <c r="AM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  <c r="AF557" s="134"/>
      <c r="AG557" s="134"/>
      <c r="AH557" s="134"/>
      <c r="AI557" s="134"/>
      <c r="AJ557" s="134"/>
      <c r="AK557" s="134"/>
      <c r="AL557" s="134"/>
      <c r="AM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  <c r="AF558" s="134"/>
      <c r="AG558" s="134"/>
      <c r="AH558" s="134"/>
      <c r="AI558" s="134"/>
      <c r="AJ558" s="134"/>
      <c r="AK558" s="134"/>
      <c r="AL558" s="134"/>
      <c r="AM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  <c r="AF559" s="134"/>
      <c r="AG559" s="134"/>
      <c r="AH559" s="134"/>
      <c r="AI559" s="134"/>
      <c r="AJ559" s="134"/>
      <c r="AK559" s="134"/>
      <c r="AL559" s="134"/>
      <c r="AM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  <c r="AF560" s="134"/>
      <c r="AG560" s="134"/>
      <c r="AH560" s="134"/>
      <c r="AI560" s="134"/>
      <c r="AJ560" s="134"/>
      <c r="AK560" s="134"/>
      <c r="AL560" s="134"/>
      <c r="AM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4"/>
      <c r="AI561" s="134"/>
      <c r="AJ561" s="134"/>
      <c r="AK561" s="134"/>
      <c r="AL561" s="134"/>
      <c r="AM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4"/>
      <c r="AI562" s="134"/>
      <c r="AJ562" s="134"/>
      <c r="AK562" s="134"/>
      <c r="AL562" s="134"/>
      <c r="AM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4"/>
      <c r="AI563" s="134"/>
      <c r="AJ563" s="134"/>
      <c r="AK563" s="134"/>
      <c r="AL563" s="134"/>
      <c r="AM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4"/>
      <c r="AK564" s="134"/>
      <c r="AL564" s="134"/>
      <c r="AM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4"/>
      <c r="AI565" s="134"/>
      <c r="AJ565" s="134"/>
      <c r="AK565" s="134"/>
      <c r="AL565" s="134"/>
      <c r="AM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4"/>
      <c r="AI568" s="134"/>
      <c r="AJ568" s="134"/>
      <c r="AK568" s="134"/>
      <c r="AL568" s="134"/>
      <c r="AM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4"/>
      <c r="AI571" s="134"/>
      <c r="AJ571" s="134"/>
      <c r="AK571" s="134"/>
      <c r="AL571" s="134"/>
      <c r="AM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4"/>
      <c r="AI572" s="134"/>
      <c r="AJ572" s="134"/>
      <c r="AK572" s="134"/>
      <c r="AL572" s="134"/>
      <c r="AM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4"/>
      <c r="AI573" s="134"/>
      <c r="AJ573" s="134"/>
      <c r="AK573" s="134"/>
      <c r="AL573" s="134"/>
      <c r="AM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4"/>
      <c r="AK574" s="134"/>
      <c r="AL574" s="134"/>
      <c r="AM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4"/>
      <c r="AI575" s="134"/>
      <c r="AJ575" s="134"/>
      <c r="AK575" s="134"/>
      <c r="AL575" s="134"/>
      <c r="AM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4"/>
      <c r="AI576" s="134"/>
      <c r="AJ576" s="134"/>
      <c r="AK576" s="134"/>
      <c r="AL576" s="134"/>
      <c r="AM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4"/>
      <c r="AI577" s="134"/>
      <c r="AJ577" s="134"/>
      <c r="AK577" s="134"/>
      <c r="AL577" s="134"/>
      <c r="AM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4"/>
      <c r="AI578" s="134"/>
      <c r="AJ578" s="134"/>
      <c r="AK578" s="134"/>
      <c r="AL578" s="134"/>
      <c r="AM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4"/>
      <c r="AI579" s="134"/>
      <c r="AJ579" s="134"/>
      <c r="AK579" s="134"/>
      <c r="AL579" s="134"/>
      <c r="AM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4"/>
      <c r="AI580" s="134"/>
      <c r="AJ580" s="134"/>
      <c r="AK580" s="134"/>
      <c r="AL580" s="134"/>
      <c r="AM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4"/>
      <c r="AI581" s="134"/>
      <c r="AJ581" s="134"/>
      <c r="AK581" s="134"/>
      <c r="AL581" s="134"/>
      <c r="AM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4"/>
      <c r="AI582" s="134"/>
      <c r="AJ582" s="134"/>
      <c r="AK582" s="134"/>
      <c r="AL582" s="134"/>
      <c r="AM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4"/>
      <c r="AI583" s="134"/>
      <c r="AJ583" s="134"/>
      <c r="AK583" s="134"/>
      <c r="AL583" s="134"/>
      <c r="AM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4"/>
      <c r="AI584" s="134"/>
      <c r="AJ584" s="134"/>
      <c r="AK584" s="134"/>
      <c r="AL584" s="134"/>
      <c r="AM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4"/>
      <c r="AI585" s="134"/>
      <c r="AJ585" s="134"/>
      <c r="AK585" s="134"/>
      <c r="AL585" s="134"/>
      <c r="AM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4"/>
      <c r="AI586" s="134"/>
      <c r="AJ586" s="134"/>
      <c r="AK586" s="134"/>
      <c r="AL586" s="134"/>
      <c r="AM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4"/>
      <c r="AI587" s="134"/>
      <c r="AJ587" s="134"/>
      <c r="AK587" s="134"/>
      <c r="AL587" s="134"/>
      <c r="AM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4"/>
      <c r="AI588" s="134"/>
      <c r="AJ588" s="134"/>
      <c r="AK588" s="134"/>
      <c r="AL588" s="134"/>
      <c r="AM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4"/>
      <c r="AI589" s="134"/>
      <c r="AJ589" s="134"/>
      <c r="AK589" s="134"/>
      <c r="AL589" s="134"/>
      <c r="AM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4"/>
      <c r="AI590" s="134"/>
      <c r="AJ590" s="134"/>
      <c r="AK590" s="134"/>
      <c r="AL590" s="134"/>
      <c r="AM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4"/>
      <c r="AI591" s="134"/>
      <c r="AJ591" s="134"/>
      <c r="AK591" s="134"/>
      <c r="AL591" s="134"/>
      <c r="AM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4"/>
      <c r="AI592" s="134"/>
      <c r="AJ592" s="134"/>
      <c r="AK592" s="134"/>
      <c r="AL592" s="134"/>
      <c r="AM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4"/>
      <c r="AI593" s="134"/>
      <c r="AJ593" s="134"/>
      <c r="AK593" s="134"/>
      <c r="AL593" s="134"/>
      <c r="AM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4"/>
      <c r="AI594" s="134"/>
      <c r="AJ594" s="134"/>
      <c r="AK594" s="134"/>
      <c r="AL594" s="134"/>
      <c r="AM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4"/>
      <c r="AI596" s="134"/>
      <c r="AJ596" s="134"/>
      <c r="AK596" s="134"/>
      <c r="AL596" s="134"/>
      <c r="AM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4"/>
      <c r="AI597" s="134"/>
      <c r="AJ597" s="134"/>
      <c r="AK597" s="134"/>
      <c r="AL597" s="134"/>
      <c r="AM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4"/>
      <c r="AI598" s="134"/>
      <c r="AJ598" s="134"/>
      <c r="AK598" s="134"/>
      <c r="AL598" s="134"/>
      <c r="AM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4"/>
      <c r="AI599" s="134"/>
      <c r="AJ599" s="134"/>
      <c r="AK599" s="134"/>
      <c r="AL599" s="134"/>
      <c r="AM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4"/>
      <c r="AI600" s="134"/>
      <c r="AJ600" s="134"/>
      <c r="AK600" s="134"/>
      <c r="AL600" s="134"/>
      <c r="AM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4"/>
      <c r="AI601" s="134"/>
      <c r="AJ601" s="134"/>
      <c r="AK601" s="134"/>
      <c r="AL601" s="134"/>
      <c r="AM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4"/>
      <c r="AI602" s="134"/>
      <c r="AJ602" s="134"/>
      <c r="AK602" s="134"/>
      <c r="AL602" s="134"/>
      <c r="AM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4"/>
      <c r="AI603" s="134"/>
      <c r="AJ603" s="134"/>
      <c r="AK603" s="134"/>
      <c r="AL603" s="134"/>
      <c r="AM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4"/>
      <c r="AK604" s="134"/>
      <c r="AL604" s="134"/>
      <c r="AM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4"/>
      <c r="AI605" s="134"/>
      <c r="AJ605" s="134"/>
      <c r="AK605" s="134"/>
      <c r="AL605" s="134"/>
      <c r="AM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4"/>
      <c r="AI606" s="134"/>
      <c r="AJ606" s="134"/>
      <c r="AK606" s="134"/>
      <c r="AL606" s="134"/>
      <c r="AM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4"/>
      <c r="AK607" s="134"/>
      <c r="AL607" s="134"/>
      <c r="AM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4"/>
      <c r="AJ608" s="134"/>
      <c r="AK608" s="134"/>
      <c r="AL608" s="134"/>
      <c r="AM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4"/>
      <c r="AJ609" s="134"/>
      <c r="AK609" s="134"/>
      <c r="AL609" s="134"/>
      <c r="AM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4"/>
      <c r="AJ610" s="134"/>
      <c r="AK610" s="134"/>
      <c r="AL610" s="134"/>
      <c r="AM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4"/>
      <c r="AJ611" s="134"/>
      <c r="AK611" s="134"/>
      <c r="AL611" s="134"/>
      <c r="AM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4"/>
      <c r="AJ612" s="134"/>
      <c r="AK612" s="134"/>
      <c r="AL612" s="134"/>
      <c r="AM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</row>
    <row r="999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</row>
    <row r="1000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</row>
  </sheetData>
  <mergeCells count="53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K11:AM11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