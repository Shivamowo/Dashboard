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 details" sheetId="1" r:id="rId4"/>
    <sheet state="visible" name="Faculty Details" sheetId="2" r:id="rId5"/>
    <sheet state="visible" name="Infrastructure Utilization" sheetId="3" r:id="rId6"/>
    <sheet state="visible" name="HoD Submission" sheetId="4" r:id="rId7"/>
    <sheet state="visible" name="Faculty Targets" sheetId="5" r:id="rId8"/>
  </sheets>
  <definedNames/>
  <calcPr/>
  <extLst>
    <ext uri="GoogleSheetsCustomDataVersion2">
      <go:sheetsCustomData xmlns:go="http://customooxmlschemas.google.com/" r:id="rId9" roundtripDataChecksum="x1rtvOz172Nd3fEYdRxYpN7yVxNxKgZ7tarp4x5yWh0="/>
    </ext>
  </extLst>
</workbook>
</file>

<file path=xl/sharedStrings.xml><?xml version="1.0" encoding="utf-8"?>
<sst xmlns="http://schemas.openxmlformats.org/spreadsheetml/2006/main" count="352" uniqueCount="240">
  <si>
    <t>Name of Department</t>
  </si>
  <si>
    <t>Name of Faculty</t>
  </si>
  <si>
    <t>DEPARTMENT PERFORMANCE DATA – HoD SUBMISSION FORMAT</t>
  </si>
  <si>
    <t>Centre for Nanoscience &amp; Technology</t>
  </si>
  <si>
    <t>Name of HoD</t>
  </si>
  <si>
    <t>Veer Bahadur Singh Purvanchal University, Jaunpur | Standardised Department Data Collection</t>
  </si>
  <si>
    <t>Dr. Sujeet Kumar Chaurasia</t>
  </si>
  <si>
    <t>Prof. Rajendra Singh (Rajju Bhaiya) Institute of Physical Sciences for Study and Research</t>
  </si>
  <si>
    <t>Current Weekly Working Hours / Room</t>
  </si>
  <si>
    <t>Date of Submission</t>
  </si>
  <si>
    <t>Department Information</t>
  </si>
  <si>
    <t>S.No</t>
  </si>
  <si>
    <t>Lab / Classroom Name</t>
  </si>
  <si>
    <t>Floor &amp; Room No.</t>
  </si>
  <si>
    <t>Hours Allotted / Week</t>
  </si>
  <si>
    <t>Lab / Room In-charge</t>
  </si>
  <si>
    <t>Lab Assistant / Support Staff</t>
  </si>
  <si>
    <t>Student Capacity</t>
  </si>
  <si>
    <t>Major Equipment / Computers Available</t>
  </si>
  <si>
    <t>Programme(s) / Courses Using Facility</t>
  </si>
  <si>
    <t>Utilisation (%)</t>
  </si>
  <si>
    <t>Digital Smart Board</t>
  </si>
  <si>
    <t>Reporting Period</t>
  </si>
  <si>
    <t>Projector</t>
  </si>
  <si>
    <t>Academic Years 2023-24 to 2026-27 (up to date of submission)</t>
  </si>
  <si>
    <t>Name of Dean/Director</t>
  </si>
  <si>
    <t>Prof. Mithilesh Singh</t>
  </si>
  <si>
    <t>Centre for Nanoscience and Technology</t>
  </si>
  <si>
    <t>Name of the Programme</t>
  </si>
  <si>
    <t>Name of Faculty Member</t>
  </si>
  <si>
    <t>Year of Commencement</t>
  </si>
  <si>
    <t>Designation</t>
  </si>
  <si>
    <t>Mode of Programme</t>
  </si>
  <si>
    <t>Appointment Type</t>
  </si>
  <si>
    <t>Sanctioned Faculty Positions</t>
  </si>
  <si>
    <t>Semester Fee / Student (₹)</t>
  </si>
  <si>
    <t>Date of Joining</t>
  </si>
  <si>
    <t>Class/Seminor Room</t>
  </si>
  <si>
    <t>Sanctioned Student Intake</t>
  </si>
  <si>
    <t>PhD</t>
  </si>
  <si>
    <t>Ground Floor, LH001</t>
  </si>
  <si>
    <t>Students Admitted</t>
  </si>
  <si>
    <t>10:00 am -5:00 pm</t>
  </si>
  <si>
    <t>Programme(s) for which Appointed</t>
  </si>
  <si>
    <t>No</t>
  </si>
  <si>
    <t>Syllabus / Curriculum Provisions</t>
  </si>
  <si>
    <t xml:space="preserve">NA </t>
  </si>
  <si>
    <t>Teaching &amp; Responsibility</t>
  </si>
  <si>
    <t xml:space="preserve">Temporarily housing equipments from PM-USHA project such as Glove box, Sputtering Unit, Battery Cycler etc as per the direction of the Hon'ble Vice Chancellor. Also housing DLS particle sizer/Zeta Potential analyser from DST-PURSE project. </t>
  </si>
  <si>
    <t>Mobile / Contact No.</t>
  </si>
  <si>
    <t xml:space="preserve">Seminor Room and Instrumentation Facility available for all research students </t>
  </si>
  <si>
    <t>Research Publications</t>
  </si>
  <si>
    <t>Yes</t>
  </si>
  <si>
    <t>Citation Performance</t>
  </si>
  <si>
    <t>Research Profile</t>
  </si>
  <si>
    <t>Professor</t>
  </si>
  <si>
    <t>Patents</t>
  </si>
  <si>
    <t>Laboratory</t>
  </si>
  <si>
    <t xml:space="preserve">Ground Floor,  Nanomaterial Synthesis laboratory </t>
  </si>
  <si>
    <t>7 x 24</t>
  </si>
  <si>
    <t>Ph.D, Project students and dissertation students</t>
  </si>
  <si>
    <t>Associate Professor</t>
  </si>
  <si>
    <t>Sponsored / Research Projects</t>
  </si>
  <si>
    <t xml:space="preserve">Hot Air Oven, Tube furnace, Vacuum Oven, Muffle Furnace, weighing balance, Laboratory Refrigerator,  Magnetic stirrers, glasswares and chemicals .   Additionally temporarily housing  Coin cell crimper, Vacuum mixer, Doctor Blade Coating machine, Disc cutter from PM USHA project as per the direction of the Hon'ble Vice Chancellor.      </t>
  </si>
  <si>
    <t>Assistant Professor</t>
  </si>
  <si>
    <t>2024</t>
  </si>
  <si>
    <t>Available for Research students of Department and University Campus</t>
  </si>
  <si>
    <t>2025</t>
  </si>
  <si>
    <t>2026</t>
  </si>
  <si>
    <t>PhD Supervision</t>
  </si>
  <si>
    <t>NEP Aligned</t>
  </si>
  <si>
    <t>Research Lab</t>
  </si>
  <si>
    <t>Multiple Entry/Exit</t>
  </si>
  <si>
    <t>Ground Floor, Electroanalytical and Ionics Research Laboratory (EIRL)</t>
  </si>
  <si>
    <t>Internship at End of Every Year</t>
  </si>
  <si>
    <t>Minor / Specialisation Available</t>
  </si>
  <si>
    <t>Remarks</t>
  </si>
  <si>
    <t>Potentiostat (Model CHI605E ) and a electrochemical workstation (CHI608E),  Spin coater, Ultrasonicator,  temperature dependent Conductivity measurement set-up, Hotplate, LCR Meter, Double-Distillation Unit,  Hot Air oven. Additionally, housing Photoelectrochemical workstation with integrated IMPS-IMVS set-up from DST-PURSE project.</t>
  </si>
  <si>
    <t>Teaching Load (Hrs/Week)</t>
  </si>
  <si>
    <t xml:space="preserve">Ph.D </t>
  </si>
  <si>
    <t>Instructions to HoD</t>
  </si>
  <si>
    <t>Additional Responsibility</t>
  </si>
  <si>
    <t>Regular</t>
  </si>
  <si>
    <t>Journal Publications</t>
  </si>
  <si>
    <t>Ph.D fees</t>
  </si>
  <si>
    <t>Conference Publications</t>
  </si>
  <si>
    <t>1. Fill all applicable fields in the three reporting sheets. Do not leave cells blank where the information is available.</t>
  </si>
  <si>
    <t>H-Index</t>
  </si>
  <si>
    <t>--</t>
  </si>
  <si>
    <t>i10-Index</t>
  </si>
  <si>
    <t>2. Report figures as per official University/Department records and use the same nomenclature across all sheets.</t>
  </si>
  <si>
    <t>Google Scholar / ORCID Link</t>
  </si>
  <si>
    <t>3. Faculty research data should be supported by verifiable records/links wherever requested.</t>
  </si>
  <si>
    <t>Filed</t>
  </si>
  <si>
    <t>4. For infrastructure, report actual weekly allocation/utilisation as per the current timetable.</t>
  </si>
  <si>
    <t>Published</t>
  </si>
  <si>
    <t>5. Use 'NA' only where a field is genuinely not applicable; use 0 for a valid nil numerical value.</t>
  </si>
  <si>
    <t>NA</t>
  </si>
  <si>
    <t>Research Centre</t>
  </si>
  <si>
    <t>Granted</t>
  </si>
  <si>
    <t>6. The HoD should verify the completeness and correctness of the information before submission.</t>
  </si>
  <si>
    <t>Department-level Snapshot (auto-calculated from reporting sheets)</t>
  </si>
  <si>
    <t>Sponsoring Agency</t>
  </si>
  <si>
    <t>Year of Grant</t>
  </si>
  <si>
    <t>Duration</t>
  </si>
  <si>
    <t>Indicator</t>
  </si>
  <si>
    <t>Sanctioned Amount (₹)</t>
  </si>
  <si>
    <t>Amount Released (₹)</t>
  </si>
  <si>
    <t>Reported Value</t>
  </si>
  <si>
    <t>Current Status</t>
  </si>
  <si>
    <t>Registered</t>
  </si>
  <si>
    <t>No. of Programmes</t>
  </si>
  <si>
    <t>Awarded</t>
  </si>
  <si>
    <t>SCI/SCIE/SSCI</t>
  </si>
  <si>
    <t>Scopus / UGC CARE</t>
  </si>
  <si>
    <t>Other</t>
  </si>
  <si>
    <t>International</t>
  </si>
  <si>
    <t>National</t>
  </si>
  <si>
    <t>Total Faculty Reported</t>
  </si>
  <si>
    <t>Total Sanctioned Student Intake (2026)</t>
  </si>
  <si>
    <t xml:space="preserve">Head of the Department, </t>
  </si>
  <si>
    <t>Faculty with PhD</t>
  </si>
  <si>
    <t>Total Students Admitted (2026)</t>
  </si>
  <si>
    <t>Labs/Classrooms Reported</t>
  </si>
  <si>
    <t>Programmes with NEP Alignment</t>
  </si>
  <si>
    <t>Digital Smart Board Available</t>
  </si>
  <si>
    <t>Projector Available</t>
  </si>
  <si>
    <t>Certification by HoD</t>
  </si>
  <si>
    <t>https://scholar.google.com/citations?user=Fo_tsI8AAAAJ&amp;hl=en</t>
  </si>
  <si>
    <t>I certify that the information furnished in this workbook has been checked from departmental records and is complete and correct to the best of my knowledge.
HoD Signature: _______________________     Date: 11/09/2026</t>
  </si>
  <si>
    <t>UGC, New Delhi</t>
  </si>
  <si>
    <t xml:space="preserve"> 10,00,000</t>
  </si>
  <si>
    <t>Completed</t>
  </si>
  <si>
    <t>Member, QS-Ranking</t>
  </si>
  <si>
    <t>CST-UP, Lucknow</t>
  </si>
  <si>
    <t>11,44,000.00</t>
  </si>
  <si>
    <t>Member, ISO Certification Committee</t>
  </si>
  <si>
    <t>UP Higher Education Department</t>
  </si>
  <si>
    <t>7,60,000.00</t>
  </si>
  <si>
    <t xml:space="preserve">Member, PUCAT-2026 </t>
  </si>
  <si>
    <t>Dr. Kajal Kumar Dey</t>
  </si>
  <si>
    <t xml:space="preserve">Coordinator-QS ranking Member-Technical Evaluation Committee, etc. </t>
  </si>
  <si>
    <t>https://scholar.google.com/citations?user=rKnnHqAAAAAJ&amp;hl=en</t>
  </si>
  <si>
    <t>ANRF (previously SERB)</t>
  </si>
  <si>
    <t xml:space="preserve"> 26,32,386.00</t>
  </si>
  <si>
    <t xml:space="preserve"> 24,04,945.00</t>
  </si>
  <si>
    <t>Ongoing</t>
  </si>
  <si>
    <t>Member-Research group Interdisciplinary Center for Water and Energy Research (ICWaER)</t>
  </si>
  <si>
    <t>UP State Council of Higher Education (Center of Excellence Grant)</t>
  </si>
  <si>
    <t>3,85,000.00</t>
  </si>
  <si>
    <t>Member-Technical evaluation committee for GeM purchase</t>
  </si>
  <si>
    <t>Veer Bahadur Singh Purvanchal University</t>
  </si>
  <si>
    <t>1,00,000.00</t>
  </si>
  <si>
    <t>Member-NAAC accreditation criteria 7 committee</t>
  </si>
  <si>
    <t>CST-UP, Lucknow (as a Co-PI)</t>
  </si>
  <si>
    <t>Member-Industry Incubation Cell</t>
  </si>
  <si>
    <t>UGC DAE</t>
  </si>
  <si>
    <t>University IIC-ARIIA coordinator</t>
  </si>
  <si>
    <t>UP State Council of Higher Education (R&amp;D Grant)</t>
  </si>
  <si>
    <t>5,00,000.00</t>
  </si>
  <si>
    <t>3,30,467.00</t>
  </si>
  <si>
    <t xml:space="preserve"> 14,36,000.00</t>
  </si>
  <si>
    <t>10,00,000.00</t>
  </si>
  <si>
    <t>DST (PURSE project as a deputy Coordinator)</t>
  </si>
  <si>
    <t>7,13,00,000.00</t>
  </si>
  <si>
    <t>Faculty Annual Targets &amp; Institutional Contribution – Academic Year 2026-27</t>
  </si>
  <si>
    <t xml:space="preserve">Dr. Sujeet Kumar Chaurasia </t>
  </si>
  <si>
    <t>Review Period</t>
  </si>
  <si>
    <t>July 2026 – June 2027</t>
  </si>
  <si>
    <t>Purpose: Set measurable annual faculty targets beyond routine teaching. Each faculty member should identify at least one specific, measurable contribution to strengthen the Department and/or University.</t>
  </si>
  <si>
    <t>Total Faculty Planned</t>
  </si>
  <si>
    <t>Journal Publication Target</t>
  </si>
  <si>
    <t>Conference Paper Target</t>
  </si>
  <si>
    <t>Sponsored/Industry Proposals</t>
  </si>
  <si>
    <t>Target Funding (₹ Lakh)</t>
  </si>
  <si>
    <t>Patent Filing Target</t>
  </si>
  <si>
    <t>Avg. Milestone Achievement</t>
  </si>
  <si>
    <t>Faculty Identification</t>
  </si>
  <si>
    <t>Research Publication Targets</t>
  </si>
  <si>
    <t>Sponsored Research / Consultancy Targets</t>
  </si>
  <si>
    <t>IPR / Innovation Targets</t>
  </si>
  <si>
    <t>Academic, Student &amp; Institutional Contribution</t>
  </si>
  <si>
    <t>Quarterly Milestones</t>
  </si>
  <si>
    <t>Quarterly Status</t>
  </si>
  <si>
    <t>Progress</t>
  </si>
  <si>
    <t>Review &amp; Achievement</t>
  </si>
  <si>
    <t>S.No.</t>
  </si>
  <si>
    <t>Nature of Appointment</t>
  </si>
  <si>
    <t>SCI/SCIE/SSCI Journal Papers</t>
  </si>
  <si>
    <t>Scopus / UGC-CARE Journal Papers</t>
  </si>
  <si>
    <t>Q1/Q2 Journal Papers (subset)</t>
  </si>
  <si>
    <t>International Conference Papers</t>
  </si>
  <si>
    <t>National Conference Papers</t>
  </si>
  <si>
    <t>Govt. Sponsored Project Proposals (#)</t>
  </si>
  <si>
    <t>Industry Project Proposals (#)</t>
  </si>
  <si>
    <t>Funding Agency/Agencies to be Targeted</t>
  </si>
  <si>
    <t>Tentative Project Theme / Title</t>
  </si>
  <si>
    <t>Target Submission Month</t>
  </si>
  <si>
    <t>Consultancy / Industry Assignment Proposals (#)</t>
  </si>
  <si>
    <t>Patents to be Filed</t>
  </si>
  <si>
    <t>Patents Expected to be Published</t>
  </si>
  <si>
    <t>Patents Expected to be Granted</t>
  </si>
  <si>
    <t>Prototype / Product / Technology Proposed</t>
  </si>
  <si>
    <t>New / Revised Course, Syllabus or Lab Development</t>
  </si>
  <si>
    <t>e-Content / MOOC / Innovative Teaching</t>
  </si>
  <si>
    <t>Student Mentoring / Hackathon / Internship / Placement Contribution</t>
  </si>
  <si>
    <t>Specific Contribution to Department Development</t>
  </si>
  <si>
    <t>Specific Contribution to University Development</t>
  </si>
  <si>
    <t>Expected Measurable Outcome by June 2027</t>
  </si>
  <si>
    <t>Q1: Jul–Sep 2026</t>
  </si>
  <si>
    <t>Q2: Oct–Dec 2026</t>
  </si>
  <si>
    <t>Q3: Jan–Mar 2027</t>
  </si>
  <si>
    <t>Q4: Apr–Jun 2027</t>
  </si>
  <si>
    <t>Q1 Status</t>
  </si>
  <si>
    <t>Q2 Status</t>
  </si>
  <si>
    <t>Q3 Status</t>
  </si>
  <si>
    <t>Q4 Status</t>
  </si>
  <si>
    <t>Milestone Achievement %</t>
  </si>
  <si>
    <t>HoD Priority</t>
  </si>
  <si>
    <t>HoD Remarks / Support Required</t>
  </si>
  <si>
    <t>Year-end Achievement Summary</t>
  </si>
  <si>
    <t>Scientist/Assistant Professor</t>
  </si>
  <si>
    <t>Permanent</t>
  </si>
  <si>
    <t>---</t>
  </si>
  <si>
    <t>ANRF/CSTUP/UP Higher Education Department</t>
  </si>
  <si>
    <t>As Per Advertisment of funding agencies</t>
  </si>
  <si>
    <t>To strengthen the department’s research output, interdisciplinary collaborations</t>
  </si>
  <si>
    <t>Research publications and Patent</t>
  </si>
  <si>
    <t>Priority basis</t>
  </si>
  <si>
    <t xml:space="preserve">Make a specific plan to achieve the mentioned targets  </t>
  </si>
  <si>
    <t xml:space="preserve">To be calculated later stage </t>
  </si>
  <si>
    <t>16/08/2019</t>
  </si>
  <si>
    <t>Depending on the scheme and/or proposal about ₹ 20 lakhs or higher .</t>
  </si>
  <si>
    <t>ANRF/UPSCHE</t>
  </si>
  <si>
    <t>Biosensor/Electrocatalysis/Photorechargeable electrodes/energy storage</t>
  </si>
  <si>
    <t>Depending on the 'Call for Proposal' by the corresponding funding agency</t>
  </si>
  <si>
    <t>To strengthen the department’s research output, interdisciplinary collaborations, academic excellence, student development, and national and international visibility through high-quality research, innovation, and strategic initiatives.</t>
  </si>
  <si>
    <t>To strengthen the University’s research excellence, global visibility, QS ranking performance through impactful research and effective institutional coordination</t>
  </si>
  <si>
    <t>Research publications</t>
  </si>
  <si>
    <t>Required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</si>
</sst>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dd\-mmm\-yyyy"/>
    <numFmt numFmtId="166" formatCode="\₹#,##0"/>
  </numFmts>
  <fonts count="30">
    <font>
      <sz val="11.0"/>
      <color theme="1"/>
      <name val="Calibri"/>
      <scheme val="minor"/>
    </font>
    <font>
      <sz val="12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4.0"/>
      <color rgb="FF2F5496"/>
      <name val="Calibri"/>
    </font>
    <font/>
    <font>
      <b/>
      <sz val="16.0"/>
      <color rgb="FFFFFFFF"/>
      <name val="Calibri"/>
    </font>
    <font>
      <sz val="11.0"/>
      <color theme="1"/>
      <name val="Calibri"/>
    </font>
    <font>
      <b/>
      <sz val="10.0"/>
      <color rgb="FF1F2937"/>
      <name val="Calibri"/>
    </font>
    <font>
      <b/>
      <sz val="14.0"/>
      <color rgb="FFC55A11"/>
      <name val="Calibri"/>
    </font>
    <font>
      <b/>
      <sz val="11.0"/>
      <color rgb="FFFFFFFF"/>
      <name val="Calibri"/>
    </font>
    <font>
      <b/>
      <sz val="12.0"/>
      <color rgb="FFFFFFFF"/>
      <name val="Calibri"/>
    </font>
    <font>
      <b/>
      <sz val="12.0"/>
      <color theme="1"/>
      <name val="EB Garamond"/>
    </font>
    <font>
      <b/>
      <sz val="20.0"/>
      <color rgb="FFFFFFFF"/>
      <name val="Calibri"/>
    </font>
    <font>
      <b/>
      <sz val="22.0"/>
      <color rgb="FFFFFFFF"/>
      <name val="Calibri"/>
    </font>
    <font>
      <color theme="1"/>
      <name val="EB Garamond"/>
    </font>
    <font>
      <sz val="12.0"/>
      <color theme="1"/>
      <name val="EB Garamond"/>
    </font>
    <font>
      <sz val="12.0"/>
      <color rgb="FF2F5496"/>
      <name val="EB Garamond"/>
    </font>
    <font>
      <sz val="12.0"/>
      <color rgb="FF2F5496"/>
      <name val="Calibri"/>
    </font>
    <font>
      <u/>
      <sz val="12.0"/>
      <color theme="1"/>
      <name val="Calibri"/>
    </font>
    <font>
      <u/>
      <sz val="12.0"/>
      <color theme="1"/>
      <name val="EB Garamond"/>
    </font>
    <font>
      <b/>
      <sz val="12.0"/>
      <color rgb="FF1F1F1F"/>
      <name val="Calibri"/>
    </font>
    <font>
      <b/>
      <sz val="15.0"/>
      <color rgb="FF1F1F1F"/>
      <name val="Calibri"/>
    </font>
    <font>
      <sz val="15.0"/>
      <color theme="1"/>
      <name val="Calibri"/>
    </font>
    <font>
      <i/>
      <sz val="12.0"/>
      <color rgb="FF7F6000"/>
      <name val="Calibri"/>
    </font>
    <font>
      <b/>
      <sz val="12.0"/>
      <color rgb="FF274E13"/>
      <name val="Calibri"/>
    </font>
    <font>
      <b/>
      <sz val="13.0"/>
      <color rgb="FFFFFFFF"/>
      <name val="Calibri"/>
    </font>
    <font>
      <b/>
      <sz val="13.0"/>
      <color rgb="FF1F1F1F"/>
      <name val="Calibri"/>
    </font>
    <font>
      <color theme="1"/>
      <name val="Calibri"/>
      <scheme val="minor"/>
    </font>
    <font>
      <sz val="11.0"/>
      <color theme="1"/>
      <name val="EB Garamond"/>
    </font>
  </fonts>
  <fills count="24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17365D"/>
        <bgColor rgb="FF17365D"/>
      </patternFill>
    </fill>
    <fill>
      <patternFill patternType="solid">
        <fgColor rgb="FFFFFDF2"/>
        <bgColor rgb="FFFFFDF2"/>
      </patternFill>
    </fill>
    <fill>
      <patternFill patternType="solid">
        <fgColor rgb="FFD9EAF7"/>
        <bgColor rgb="FFD9EAF7"/>
      </patternFill>
    </fill>
    <fill>
      <patternFill patternType="solid">
        <fgColor rgb="FF1F4E78"/>
        <bgColor rgb="FF1F4E78"/>
      </patternFill>
    </fill>
    <fill>
      <patternFill patternType="solid">
        <fgColor rgb="FFD9E2F3"/>
        <bgColor rgb="FFD9E2F3"/>
      </patternFill>
    </fill>
    <fill>
      <patternFill patternType="solid">
        <fgColor rgb="FFFFF2CB"/>
        <bgColor rgb="FFFFF2CB"/>
      </patternFill>
    </fill>
    <fill>
      <patternFill patternType="solid">
        <fgColor rgb="FFE7E6E6"/>
        <bgColor rgb="FFE7E6E6"/>
      </patternFill>
    </fill>
    <fill>
      <patternFill patternType="solid">
        <fgColor rgb="FF0F6B78"/>
        <bgColor rgb="FF0F6B78"/>
      </patternFill>
    </fill>
    <fill>
      <patternFill patternType="solid">
        <fgColor rgb="FFE2F0D9"/>
        <bgColor rgb="FFE2F0D9"/>
      </patternFill>
    </fill>
    <fill>
      <patternFill patternType="solid">
        <fgColor rgb="FFD6DCE4"/>
        <bgColor rgb="FFD6DCE4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9EF"/>
        <bgColor rgb="FFF3F9EF"/>
      </patternFill>
    </fill>
    <fill>
      <patternFill patternType="solid">
        <fgColor rgb="FF5B9BD5"/>
        <bgColor rgb="FF5B9BD5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264478"/>
        <bgColor rgb="FF264478"/>
      </patternFill>
    </fill>
    <fill>
      <patternFill patternType="solid">
        <fgColor rgb="FF8064A2"/>
        <bgColor rgb="FF8064A2"/>
      </patternFill>
    </fill>
  </fills>
  <borders count="3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/>
    </border>
    <border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</border>
    <border>
      <left style="thin">
        <color rgb="FF808080"/>
      </left>
      <top style="thin">
        <color rgb="FF808080"/>
      </top>
    </border>
    <border>
      <top style="thin">
        <color rgb="FF808080"/>
      </top>
    </border>
    <border>
      <right style="thin">
        <color rgb="FF808080"/>
      </right>
      <top style="thin">
        <color rgb="FF808080"/>
      </top>
    </border>
    <border>
      <left style="thin">
        <color rgb="FF808080"/>
      </left>
      <bottom style="thin">
        <color rgb="FF808080"/>
      </bottom>
    </border>
    <border>
      <bottom style="thin">
        <color rgb="FF808080"/>
      </bottom>
    </border>
    <border>
      <right style="thin">
        <color rgb="FF808080"/>
      </right>
      <bottom style="thin">
        <color rgb="FF808080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shrinkToFit="0" wrapText="1"/>
    </xf>
    <xf borderId="1" fillId="2" fontId="2" numFmtId="0" xfId="0" applyBorder="1" applyFill="1" applyFont="1"/>
    <xf borderId="2" fillId="2" fontId="3" numFmtId="0" xfId="0" applyBorder="1" applyFill="1" applyFont="1"/>
    <xf borderId="3" fillId="2" fontId="2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shrinkToFit="0" vertical="center" wrapText="1"/>
    </xf>
    <xf borderId="4" fillId="0" fontId="5" numFmtId="0" xfId="0" applyBorder="1" applyFont="1"/>
    <xf borderId="5" fillId="0" fontId="5" numFmtId="0" xfId="0" applyBorder="1" applyFont="1"/>
    <xf borderId="2" fillId="3" fontId="6" numFmtId="0" xfId="0" applyAlignment="1" applyBorder="1" applyFill="1" applyFont="1">
      <alignment horizontal="center" shrinkToFit="0" vertical="center" wrapText="1"/>
    </xf>
    <xf borderId="2" fillId="4" fontId="7" numFmtId="0" xfId="0" applyAlignment="1" applyBorder="1" applyFill="1" applyFont="1">
      <alignment readingOrder="0"/>
    </xf>
    <xf borderId="6" fillId="0" fontId="5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2" fillId="5" fontId="8" numFmtId="0" xfId="0" applyAlignment="1" applyBorder="1" applyFill="1" applyFont="1">
      <alignment horizontal="center" shrinkToFit="0" vertical="center" wrapText="1"/>
    </xf>
    <xf borderId="7" fillId="4" fontId="7" numFmtId="0" xfId="0" applyBorder="1" applyFill="1" applyFont="1"/>
    <xf borderId="2" fillId="4" fontId="7" numFmtId="0" xfId="0" applyBorder="1" applyFill="1" applyFont="1"/>
    <xf borderId="8" fillId="2" fontId="9" numFmtId="0" xfId="0" applyAlignment="1" applyBorder="1" applyFill="1" applyFont="1">
      <alignment horizontal="center" shrinkToFit="0" vertical="center" wrapText="1"/>
    </xf>
    <xf borderId="9" fillId="4" fontId="7" numFmtId="0" xfId="0" applyBorder="1" applyFill="1" applyFont="1"/>
    <xf borderId="0" fillId="0" fontId="7" numFmtId="0" xfId="0" applyAlignment="1" applyFont="1">
      <alignment shrinkToFit="0" wrapText="1"/>
    </xf>
    <xf borderId="2" fillId="4" fontId="7" numFmtId="164" xfId="0" applyAlignment="1" applyBorder="1" applyFill="1" applyFont="1" applyNumberFormat="1">
      <alignment readingOrder="0"/>
    </xf>
    <xf borderId="7" fillId="6" fontId="10" numFmtId="0" xfId="0" applyAlignment="1" applyBorder="1" applyFill="1" applyFont="1">
      <alignment shrinkToFit="0" vertical="center" wrapText="1"/>
    </xf>
    <xf borderId="1" fillId="3" fontId="11" numFmtId="0" xfId="0" applyAlignment="1" applyBorder="1" applyFill="1" applyFont="1">
      <alignment horizontal="center" shrinkToFit="0" vertical="center" wrapText="1"/>
    </xf>
    <xf borderId="10" fillId="6" fontId="10" numFmtId="0" xfId="0" applyAlignment="1" applyBorder="1" applyFill="1" applyFont="1">
      <alignment shrinkToFit="0" vertical="center" wrapText="1"/>
    </xf>
    <xf borderId="11" fillId="0" fontId="5" numFmtId="0" xfId="0" applyBorder="1" applyFont="1"/>
    <xf borderId="8" fillId="4" fontId="9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1" fillId="2" fontId="3" numFmtId="0" xfId="0" applyAlignment="1" applyBorder="1" applyFill="1" applyFont="1">
      <alignment shrinkToFit="0" vertical="center" wrapText="1"/>
    </xf>
    <xf borderId="3" fillId="4" fontId="1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readingOrder="0" shrinkToFit="0" vertical="center" wrapText="1"/>
    </xf>
    <xf borderId="13" fillId="4" fontId="7" numFmtId="0" xfId="0" applyBorder="1" applyFill="1" applyFont="1"/>
    <xf borderId="3" fillId="4" fontId="7" numFmtId="0" xfId="0" applyAlignment="1" applyBorder="1" applyFill="1" applyFont="1">
      <alignment readingOrder="0" shrinkToFit="0" vertical="center" wrapText="1"/>
    </xf>
    <xf borderId="10" fillId="2" fontId="3" numFmtId="0" xfId="0" applyBorder="1" applyFill="1" applyFont="1"/>
    <xf borderId="10" fillId="4" fontId="7" numFmtId="164" xfId="0" applyAlignment="1" applyBorder="1" applyFill="1" applyFont="1" applyNumberFormat="1">
      <alignment horizontal="left" readingOrder="0"/>
    </xf>
    <xf borderId="12" fillId="3" fontId="11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readingOrder="0" shrinkToFit="0" vertical="center" wrapText="1"/>
    </xf>
    <xf borderId="3" fillId="3" fontId="11" numFmtId="0" xfId="0" applyAlignment="1" applyBorder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2" numFmtId="1" xfId="0" applyAlignment="1" applyBorder="1" applyFont="1" applyNumberFormat="1">
      <alignment readingOrder="0" shrinkToFit="0" vertical="center" wrapText="1"/>
    </xf>
    <xf borderId="3" fillId="3" fontId="13" numFmtId="0" xfId="0" applyAlignment="1" applyBorder="1" applyFill="1" applyFont="1">
      <alignment horizontal="center" shrinkToFit="0" vertical="center" wrapText="1"/>
    </xf>
    <xf borderId="3" fillId="3" fontId="14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3" fillId="4" fontId="7" numFmtId="0" xfId="0" applyAlignment="1" applyBorder="1" applyFill="1" applyFont="1">
      <alignment horizontal="left" readingOrder="0" shrinkToFit="0" vertical="center" wrapText="1"/>
    </xf>
    <xf borderId="0" fillId="0" fontId="15" numFmtId="0" xfId="0" applyFont="1"/>
    <xf borderId="14" fillId="0" fontId="5" numFmtId="0" xfId="0" applyBorder="1" applyFont="1"/>
    <xf borderId="1" fillId="3" fontId="14" numFmtId="0" xfId="0" applyAlignment="1" applyBorder="1" applyFill="1" applyFont="1">
      <alignment shrinkToFit="0" vertical="center" wrapText="1"/>
    </xf>
    <xf borderId="1" fillId="2" fontId="12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center" shrinkToFit="0" vertical="center" wrapText="1"/>
    </xf>
    <xf borderId="3" fillId="4" fontId="7" numFmtId="165" xfId="0" applyAlignment="1" applyBorder="1" applyFill="1" applyFont="1" applyNumberFormat="1">
      <alignment horizontal="left" readingOrder="0" shrinkToFit="0" vertical="center" wrapText="1"/>
    </xf>
    <xf borderId="15" fillId="0" fontId="5" numFmtId="0" xfId="0" applyBorder="1" applyFont="1"/>
    <xf borderId="1" fillId="2" fontId="16" numFmtId="0" xfId="0" applyAlignment="1" applyBorder="1" applyFill="1" applyFont="1">
      <alignment horizontal="center" readingOrder="0" shrinkToFit="0" vertical="center" wrapText="1"/>
    </xf>
    <xf borderId="12" fillId="6" fontId="11" numFmtId="0" xfId="0" applyAlignment="1" applyBorder="1" applyFill="1" applyFont="1">
      <alignment horizontal="center" shrinkToFit="0" vertical="center" wrapText="1"/>
    </xf>
    <xf borderId="1" fillId="0" fontId="16" numFmtId="0" xfId="0" applyAlignment="1" applyBorder="1" applyFont="1">
      <alignment readingOrder="0" shrinkToFit="0" vertical="center" wrapText="1"/>
    </xf>
    <xf borderId="2" fillId="6" fontId="10" numFmtId="0" xfId="0" applyAlignment="1" applyBorder="1" applyFill="1" applyFont="1">
      <alignment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1" fillId="7" fontId="16" numFmtId="1" xfId="0" applyAlignment="1" applyBorder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3" fillId="6" fontId="11" numFmtId="0" xfId="0" applyAlignment="1" applyBorder="1" applyFill="1" applyFont="1">
      <alignment horizontal="center" shrinkToFit="0" vertical="center" wrapText="1"/>
    </xf>
    <xf borderId="1" fillId="0" fontId="2" numFmtId="1" xfId="0" applyAlignment="1" applyBorder="1" applyFont="1" applyNumberFormat="1">
      <alignment shrinkToFit="0" vertical="center" wrapText="1"/>
    </xf>
    <xf borderId="1" fillId="8" fontId="17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shrinkToFit="0" vertical="top" wrapText="1"/>
    </xf>
    <xf borderId="1" fillId="7" fontId="16" numFmtId="1" xfId="0" applyAlignment="1" applyBorder="1" applyFill="1" applyFont="1" applyNumberFormat="1">
      <alignment readingOrder="0" shrinkToFit="0" vertical="center" wrapText="1"/>
    </xf>
    <xf borderId="1" fillId="8" fontId="16" numFmtId="1" xfId="0" applyAlignment="1" applyBorder="1" applyFill="1" applyFont="1" applyNumberFormat="1">
      <alignment horizontal="center" readingOrder="0" shrinkToFit="0" vertical="center" wrapText="1"/>
    </xf>
    <xf borderId="1" fillId="7" fontId="16" numFmtId="0" xfId="0" applyAlignment="1" applyBorder="1" applyFill="1" applyFont="1">
      <alignment readingOrder="0" shrinkToFit="0" vertical="center" wrapText="1"/>
    </xf>
    <xf borderId="1" fillId="9" fontId="16" numFmtId="0" xfId="0" applyAlignment="1" applyBorder="1" applyFill="1" applyFont="1">
      <alignment readingOrder="0" shrinkToFit="0" vertical="center" wrapText="1"/>
    </xf>
    <xf borderId="16" fillId="6" fontId="11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1" fillId="2" fontId="1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7" fontId="1" numFmtId="1" xfId="0" applyAlignment="1" applyBorder="1" applyFill="1" applyFont="1" applyNumberFormat="1">
      <alignment shrinkToFit="0" vertical="center" wrapText="1"/>
    </xf>
    <xf borderId="9" fillId="10" fontId="10" numFmtId="0" xfId="0" applyAlignment="1" applyBorder="1" applyFill="1" applyFont="1">
      <alignment horizontal="center" shrinkToFit="0" wrapText="1"/>
    </xf>
    <xf borderId="1" fillId="8" fontId="18" numFmtId="166" xfId="0" applyAlignment="1" applyBorder="1" applyFill="1" applyFont="1" applyNumberFormat="1">
      <alignment shrinkToFit="0" vertical="center" wrapText="1"/>
    </xf>
    <xf borderId="1" fillId="8" fontId="1" numFmtId="1" xfId="0" applyAlignment="1" applyBorder="1" applyFill="1" applyFont="1" applyNumberFormat="1">
      <alignment shrinkToFit="0" vertical="center" wrapText="1"/>
    </xf>
    <xf borderId="1" fillId="7" fontId="1" numFmtId="165" xfId="0" applyAlignment="1" applyBorder="1" applyFill="1" applyFont="1" applyNumberFormat="1">
      <alignment shrinkToFit="0" vertical="center" wrapText="1"/>
    </xf>
    <xf borderId="1" fillId="9" fontId="1" numFmtId="0" xfId="0" applyAlignment="1" applyBorder="1" applyFill="1" applyFont="1">
      <alignment shrinkToFit="0" vertical="center" wrapText="1"/>
    </xf>
    <xf borderId="17" fillId="2" fontId="7" numFmtId="0" xfId="0" applyAlignment="1" applyBorder="1" applyFill="1" applyFont="1">
      <alignment horizontal="center" shrinkToFit="0" vertical="center" wrapText="1"/>
    </xf>
    <xf borderId="1" fillId="10" fontId="1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" xfId="0" applyAlignment="1" applyFont="1" applyNumberFormat="1">
      <alignment shrinkToFit="0" vertical="center" wrapText="1"/>
    </xf>
    <xf borderId="18" fillId="0" fontId="7" numFmtId="0" xfId="0" applyAlignment="1" applyBorder="1" applyFont="1">
      <alignment shrinkToFit="0" vertical="center" wrapText="1"/>
    </xf>
    <xf borderId="19" fillId="0" fontId="5" numFmtId="0" xfId="0" applyBorder="1" applyFont="1"/>
    <xf borderId="9" fillId="11" fontId="3" numFmtId="0" xfId="0" applyAlignment="1" applyBorder="1" applyFill="1" applyFont="1">
      <alignment horizontal="center" shrinkToFit="0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165" xfId="0" applyAlignment="1" applyBorder="1" applyFont="1" applyNumberFormat="1">
      <alignment readingOrder="0" shrinkToFit="0" vertical="center" wrapText="1"/>
    </xf>
    <xf borderId="1" fillId="12" fontId="1" numFmtId="1" xfId="0" applyAlignment="1" applyBorder="1" applyFill="1" applyFont="1" applyNumberFormat="1">
      <alignment horizontal="center" readingOrder="0" shrinkToFit="0" vertical="center" wrapText="1"/>
    </xf>
    <xf borderId="1" fillId="12" fontId="1" numFmtId="0" xfId="0" applyAlignment="1" applyBorder="1" applyFill="1" applyFont="1">
      <alignment readingOrder="0" shrinkToFit="0" vertical="center" wrapText="1"/>
    </xf>
    <xf borderId="9" fillId="11" fontId="3" numFmtId="1" xfId="0" applyAlignment="1" applyBorder="1" applyFill="1" applyFont="1" applyNumberFormat="1">
      <alignment horizontal="center" shrinkToFit="0" wrapText="1"/>
    </xf>
    <xf borderId="1" fillId="7" fontId="1" numFmtId="1" xfId="0" applyAlignment="1" applyBorder="1" applyFill="1" applyFont="1" applyNumberFormat="1">
      <alignment horizontal="center" readingOrder="0" shrinkToFit="0" vertical="center" wrapText="1"/>
    </xf>
    <xf borderId="1" fillId="13" fontId="1" numFmtId="1" xfId="0" applyAlignment="1" applyBorder="1" applyFill="1" applyFont="1" applyNumberFormat="1">
      <alignment horizontal="center" readingOrder="0" shrinkToFit="0" vertical="center" wrapText="1"/>
    </xf>
    <xf borderId="20" fillId="2" fontId="7" numFmtId="0" xfId="0" applyAlignment="1" applyBorder="1" applyFill="1" applyFont="1">
      <alignment horizontal="center" shrinkToFit="0" vertical="center" wrapText="1"/>
    </xf>
    <xf borderId="1" fillId="7" fontId="1" numFmtId="1" xfId="0" applyAlignment="1" applyBorder="1" applyFill="1" applyFont="1" applyNumberFormat="1">
      <alignment readingOrder="0" shrinkToFit="0" vertical="center" wrapText="1"/>
    </xf>
    <xf borderId="21" fillId="0" fontId="7" numFmtId="0" xfId="0" applyAlignment="1" applyBorder="1" applyFont="1">
      <alignment shrinkToFit="0" vertical="center" wrapText="1"/>
    </xf>
    <xf borderId="0" fillId="0" fontId="7" numFmtId="166" xfId="0" applyAlignment="1" applyFont="1" applyNumberFormat="1">
      <alignment shrinkToFit="0" vertical="center" wrapText="1"/>
    </xf>
    <xf borderId="21" fillId="0" fontId="7" numFmtId="1" xfId="0" applyAlignment="1" applyBorder="1" applyFont="1" applyNumberFormat="1">
      <alignment shrinkToFit="0" vertical="center" wrapText="1"/>
    </xf>
    <xf borderId="10" fillId="4" fontId="7" numFmtId="0" xfId="0" applyAlignment="1" applyBorder="1" applyFill="1" applyFont="1">
      <alignment readingOrder="0" shrinkToFit="0" vertical="top" wrapText="1"/>
    </xf>
    <xf borderId="0" fillId="0" fontId="7" numFmtId="165" xfId="0" applyAlignment="1" applyFont="1" applyNumberFormat="1">
      <alignment shrinkToFit="0" vertical="center" wrapText="1"/>
    </xf>
    <xf borderId="22" fillId="0" fontId="7" numFmtId="0" xfId="0" applyAlignment="1" applyBorder="1" applyFont="1">
      <alignment shrinkToFit="0" vertical="center" wrapText="1"/>
    </xf>
    <xf borderId="23" fillId="0" fontId="5" numFmtId="0" xfId="0" applyBorder="1" applyFont="1"/>
    <xf borderId="1" fillId="9" fontId="19" numFmtId="0" xfId="0" applyAlignment="1" applyBorder="1" applyFill="1" applyFont="1">
      <alignment readingOrder="0" shrinkToFit="0" vertical="center" wrapText="1"/>
    </xf>
    <xf borderId="1" fillId="9" fontId="1" numFmtId="0" xfId="0" applyAlignment="1" applyBorder="1" applyFill="1" applyFont="1">
      <alignment readingOrder="0" shrinkToFit="0" vertical="center" wrapText="1"/>
    </xf>
    <xf borderId="1" fillId="9" fontId="1" numFmtId="1" xfId="0" applyAlignment="1" applyBorder="1" applyFill="1" applyFont="1" applyNumberFormat="1">
      <alignment readingOrder="0" shrinkToFit="0" vertical="center" wrapText="1"/>
    </xf>
    <xf borderId="1" fillId="9" fontId="1" numFmtId="1" xfId="0" applyAlignment="1" applyBorder="1" applyFill="1" applyFont="1" applyNumberFormat="1">
      <alignment horizontal="center" readingOrder="0" shrinkToFit="0" vertical="center" wrapText="1"/>
    </xf>
    <xf borderId="1" fillId="9" fontId="1" numFmtId="166" xfId="0" applyAlignment="1" applyBorder="1" applyFill="1" applyFont="1" applyNumberFormat="1">
      <alignment horizontal="center" readingOrder="0" shrinkToFit="0" vertical="center" wrapText="1"/>
    </xf>
    <xf borderId="1" fillId="12" fontId="1" numFmtId="1" xfId="0" applyAlignment="1" applyBorder="1" applyFill="1" applyFont="1" applyNumberFormat="1">
      <alignment shrinkToFit="0" vertical="center" wrapText="1"/>
    </xf>
    <xf borderId="1" fillId="13" fontId="1" numFmtId="1" xfId="0" applyAlignment="1" applyBorder="1" applyFill="1" applyFont="1" applyNumberFormat="1">
      <alignment shrinkToFit="0" vertical="center" wrapText="1"/>
    </xf>
    <xf borderId="1" fillId="0" fontId="1" numFmtId="165" xfId="0" applyAlignment="1" applyBorder="1" applyFont="1" applyNumberFormat="1">
      <alignment shrinkToFit="0" vertical="center" wrapText="1"/>
    </xf>
    <xf borderId="1" fillId="12" fontId="1" numFmtId="1" xfId="0" applyAlignment="1" applyBorder="1" applyFill="1" applyFont="1" applyNumberFormat="1">
      <alignment readingOrder="0" shrinkToFit="0" vertical="center" wrapText="1"/>
    </xf>
    <xf borderId="21" fillId="0" fontId="7" numFmtId="166" xfId="0" applyAlignment="1" applyBorder="1" applyFont="1" applyNumberFormat="1">
      <alignment shrinkToFit="0" vertical="center" wrapText="1"/>
    </xf>
    <xf borderId="1" fillId="0" fontId="16" numFmtId="165" xfId="0" applyAlignment="1" applyBorder="1" applyFont="1" applyNumberFormat="1">
      <alignment readingOrder="0" shrinkToFit="0" vertical="center" wrapText="1"/>
    </xf>
    <xf borderId="21" fillId="0" fontId="7" numFmtId="165" xfId="0" applyAlignment="1" applyBorder="1" applyFont="1" applyNumberFormat="1">
      <alignment shrinkToFit="0" vertical="center" wrapText="1"/>
    </xf>
    <xf borderId="1" fillId="12" fontId="16" numFmtId="1" xfId="0" applyAlignment="1" applyBorder="1" applyFill="1" applyFont="1" applyNumberFormat="1">
      <alignment horizontal="center" readingOrder="0" shrinkToFit="0" vertical="center" wrapText="1"/>
    </xf>
    <xf borderId="1" fillId="12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wrapText="1"/>
    </xf>
    <xf borderId="1" fillId="13" fontId="16" numFmtId="1" xfId="0" applyAlignment="1" applyBorder="1" applyFill="1" applyFont="1" applyNumberFormat="1">
      <alignment shrinkToFit="0" vertical="center" wrapText="1"/>
    </xf>
    <xf borderId="1" fillId="9" fontId="20" numFmtId="0" xfId="0" applyAlignment="1" applyBorder="1" applyFill="1" applyFont="1">
      <alignment readingOrder="0" shrinkToFit="0" vertical="center" wrapText="1"/>
    </xf>
    <xf borderId="1" fillId="9" fontId="16" numFmtId="1" xfId="0" applyAlignment="1" applyBorder="1" applyFill="1" applyFont="1" applyNumberFormat="1">
      <alignment readingOrder="0" shrinkToFit="0" vertical="center" wrapText="1"/>
    </xf>
    <xf borderId="1" fillId="9" fontId="16" numFmtId="1" xfId="0" applyAlignment="1" applyBorder="1" applyFill="1" applyFont="1" applyNumberFormat="1">
      <alignment horizontal="center" readingOrder="0" shrinkToFit="0" vertical="center" wrapText="1"/>
    </xf>
    <xf borderId="1" fillId="9" fontId="16" numFmtId="166" xfId="0" applyAlignment="1" applyBorder="1" applyFill="1" applyFont="1" applyNumberFormat="1">
      <alignment horizontal="center" readingOrder="0" shrinkToFit="0" vertical="center" wrapText="1"/>
    </xf>
    <xf borderId="1" fillId="12" fontId="1" numFmtId="0" xfId="0" applyAlignment="1" applyBorder="1" applyFill="1" applyFont="1">
      <alignment shrinkToFit="0" vertical="center" wrapText="1"/>
    </xf>
    <xf borderId="1" fillId="9" fontId="16" numFmtId="166" xfId="0" applyAlignment="1" applyBorder="1" applyFill="1" applyFont="1" applyNumberFormat="1">
      <alignment shrinkToFit="0" vertical="center" wrapText="1"/>
    </xf>
    <xf borderId="1" fillId="9" fontId="1" numFmtId="1" xfId="0" applyAlignment="1" applyBorder="1" applyFill="1" applyFont="1" applyNumberFormat="1">
      <alignment shrinkToFit="0" vertical="center" wrapText="1"/>
    </xf>
    <xf borderId="1" fillId="9" fontId="1" numFmtId="166" xfId="0" applyAlignment="1" applyBorder="1" applyFill="1" applyFont="1" applyNumberFormat="1">
      <alignment shrinkToFit="0" vertical="center" wrapText="1"/>
    </xf>
    <xf borderId="18" fillId="0" fontId="7" numFmtId="1" xfId="0" applyAlignment="1" applyBorder="1" applyFont="1" applyNumberFormat="1">
      <alignment shrinkToFit="0" vertical="center" wrapText="1"/>
    </xf>
    <xf borderId="0" fillId="6" fontId="6" numFmtId="0" xfId="0" applyAlignment="1" applyFill="1" applyFont="1">
      <alignment horizontal="center" vertical="bottom"/>
    </xf>
    <xf borderId="0" fillId="5" fontId="21" numFmtId="0" xfId="0" applyAlignment="1" applyFill="1" applyFont="1">
      <alignment vertical="bottom"/>
    </xf>
    <xf borderId="0" fillId="0" fontId="7" numFmtId="0" xfId="0" applyAlignment="1" applyFont="1">
      <alignment readingOrder="0" vertical="bottom"/>
    </xf>
    <xf borderId="0" fillId="5" fontId="22" numFmtId="0" xfId="0" applyAlignment="1" applyFill="1" applyFont="1">
      <alignment vertical="bottom"/>
    </xf>
    <xf borderId="0" fillId="0" fontId="2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14" fontId="24" numFmtId="0" xfId="0" applyAlignment="1" applyFill="1" applyFont="1">
      <alignment vertical="bottom"/>
    </xf>
    <xf borderId="0" fillId="15" fontId="25" numFmtId="0" xfId="0" applyAlignment="1" applyFill="1" applyFont="1">
      <alignment horizontal="center" vertical="bottom"/>
    </xf>
    <xf borderId="0" fillId="16" fontId="2" numFmtId="0" xfId="0" applyAlignment="1" applyFill="1" applyFont="1">
      <alignment horizontal="center" vertical="bottom"/>
    </xf>
    <xf borderId="0" fillId="16" fontId="2" numFmtId="9" xfId="0" applyAlignment="1" applyFill="1" applyFont="1" applyNumberFormat="1">
      <alignment horizontal="center" vertical="bottom"/>
    </xf>
    <xf borderId="22" fillId="0" fontId="7" numFmtId="1" xfId="0" applyAlignment="1" applyBorder="1" applyFont="1" applyNumberFormat="1">
      <alignment shrinkToFit="0" vertical="center" wrapText="1"/>
    </xf>
    <xf borderId="0" fillId="17" fontId="26" numFmtId="0" xfId="0" applyAlignment="1" applyFill="1" applyFont="1">
      <alignment horizontal="center" shrinkToFit="0" vertical="bottom" wrapText="1"/>
    </xf>
    <xf borderId="9" fillId="7" fontId="1" numFmtId="0" xfId="0" applyBorder="1" applyFill="1" applyFont="1"/>
    <xf borderId="0" fillId="18" fontId="26" numFmtId="0" xfId="0" applyAlignment="1" applyFill="1" applyFont="1">
      <alignment horizontal="center" shrinkToFit="0" vertical="bottom" wrapText="1"/>
    </xf>
    <xf borderId="0" fillId="19" fontId="26" numFmtId="0" xfId="0" applyAlignment="1" applyFill="1" applyFont="1">
      <alignment horizontal="center" shrinkToFit="0" vertical="bottom" wrapText="1"/>
    </xf>
    <xf borderId="0" fillId="20" fontId="26" numFmtId="0" xfId="0" applyAlignment="1" applyFill="1" applyFont="1">
      <alignment horizontal="center" shrinkToFit="0" vertical="bottom" wrapText="1"/>
    </xf>
    <xf borderId="0" fillId="21" fontId="26" numFmtId="0" xfId="0" applyAlignment="1" applyFill="1" applyFont="1">
      <alignment horizontal="center" shrinkToFit="0" vertical="bottom" wrapText="1"/>
    </xf>
    <xf borderId="0" fillId="22" fontId="26" numFmtId="0" xfId="0" applyAlignment="1" applyFill="1" applyFont="1">
      <alignment horizontal="center" shrinkToFit="0" vertical="bottom" wrapText="1"/>
    </xf>
    <xf borderId="0" fillId="23" fontId="26" numFmtId="0" xfId="0" applyAlignment="1" applyFill="1" applyFont="1">
      <alignment horizontal="center" shrinkToFit="0" vertical="bottom" wrapText="1"/>
    </xf>
    <xf borderId="24" fillId="7" fontId="27" numFmtId="0" xfId="0" applyAlignment="1" applyBorder="1" applyFill="1" applyFont="1">
      <alignment horizontal="center" shrinkToFit="0" vertical="bottom" wrapText="1"/>
    </xf>
    <xf borderId="25" fillId="7" fontId="27" numFmtId="0" xfId="0" applyAlignment="1" applyBorder="1" applyFill="1" applyFont="1">
      <alignment horizontal="center" shrinkToFit="0" vertical="bottom" wrapText="1"/>
    </xf>
    <xf borderId="26" fillId="7" fontId="27" numFmtId="0" xfId="0" applyAlignment="1" applyBorder="1" applyFill="1" applyFont="1">
      <alignment horizontal="center" shrinkToFit="0" vertical="bottom" wrapText="1"/>
    </xf>
    <xf borderId="27" fillId="0" fontId="5" numFmtId="0" xfId="0" applyBorder="1" applyFont="1"/>
    <xf borderId="28" fillId="0" fontId="5" numFmtId="0" xfId="0" applyBorder="1" applyFont="1"/>
    <xf borderId="29" fillId="0" fontId="5" numFmtId="0" xfId="0" applyBorder="1" applyFont="1"/>
    <xf borderId="30" fillId="0" fontId="7" numFmtId="0" xfId="0" applyAlignment="1" applyBorder="1" applyFont="1">
      <alignment horizontal="center" readingOrder="0" vertical="top"/>
    </xf>
    <xf borderId="31" fillId="0" fontId="7" numFmtId="0" xfId="0" applyAlignment="1" applyBorder="1" applyFont="1">
      <alignment readingOrder="0" vertical="top"/>
    </xf>
    <xf borderId="31" fillId="0" fontId="7" numFmtId="164" xfId="0" applyAlignment="1" applyBorder="1" applyFont="1" applyNumberFormat="1">
      <alignment readingOrder="0" vertical="top"/>
    </xf>
    <xf borderId="31" fillId="0" fontId="7" numFmtId="0" xfId="0" applyAlignment="1" applyBorder="1" applyFont="1">
      <alignment horizontal="center" readingOrder="0" vertical="top"/>
    </xf>
    <xf borderId="0" fillId="0" fontId="28" numFmtId="0" xfId="0" applyAlignment="1" applyFont="1">
      <alignment horizontal="center" readingOrder="0"/>
    </xf>
    <xf borderId="31" fillId="0" fontId="7" numFmtId="0" xfId="0" applyAlignment="1" applyBorder="1" applyFont="1">
      <alignment vertical="top"/>
    </xf>
    <xf borderId="0" fillId="0" fontId="28" numFmtId="0" xfId="0" applyAlignment="1" applyFont="1">
      <alignment readingOrder="0"/>
    </xf>
    <xf borderId="32" fillId="0" fontId="7" numFmtId="0" xfId="0" applyAlignment="1" applyBorder="1" applyFont="1">
      <alignment readingOrder="0" vertical="top"/>
    </xf>
    <xf borderId="33" fillId="0" fontId="29" numFmtId="0" xfId="0" applyAlignment="1" applyBorder="1" applyFont="1">
      <alignment horizontal="center" readingOrder="0" vertical="top"/>
    </xf>
    <xf borderId="0" fillId="0" fontId="29" numFmtId="0" xfId="0" applyAlignment="1" applyFont="1">
      <alignment readingOrder="0" vertical="top"/>
    </xf>
    <xf borderId="0" fillId="0" fontId="29" numFmtId="0" xfId="0" applyAlignment="1" applyFont="1">
      <alignment horizontal="center" readingOrder="0" vertical="top"/>
    </xf>
    <xf borderId="0" fillId="0" fontId="15" numFmtId="0" xfId="0" applyAlignment="1" applyFont="1">
      <alignment horizontal="center" readingOrder="0"/>
    </xf>
    <xf borderId="31" fillId="0" fontId="29" numFmtId="0" xfId="0" applyAlignment="1" applyBorder="1" applyFont="1">
      <alignment readingOrder="0" vertical="top"/>
    </xf>
    <xf borderId="31" fillId="0" fontId="29" numFmtId="0" xfId="0" applyAlignment="1" applyBorder="1" applyFont="1">
      <alignment horizontal="center" readingOrder="0" vertical="top"/>
    </xf>
    <xf borderId="0" fillId="0" fontId="29" numFmtId="0" xfId="0" applyAlignment="1" applyFont="1">
      <alignment vertical="top"/>
    </xf>
    <xf borderId="34" fillId="0" fontId="29" numFmtId="0" xfId="0" applyAlignment="1" applyBorder="1" applyFont="1">
      <alignment readingOrder="0" vertical="top"/>
    </xf>
    <xf borderId="33" fillId="0" fontId="7" numFmtId="0" xfId="0" applyAlignment="1" applyBorder="1" applyFont="1">
      <alignment vertical="top"/>
    </xf>
    <xf borderId="0" fillId="0" fontId="7" numFmtId="0" xfId="0" applyAlignment="1" applyFont="1">
      <alignment vertical="top"/>
    </xf>
    <xf borderId="34" fillId="0" fontId="7" numFmtId="0" xfId="0" applyAlignment="1" applyBorder="1" applyFont="1">
      <alignment vertical="top"/>
    </xf>
    <xf borderId="0" fillId="0" fontId="7" numFmtId="0" xfId="0" applyAlignment="1" applyFont="1">
      <alignment horizontal="center" vertical="top"/>
    </xf>
    <xf borderId="35" fillId="0" fontId="7" numFmtId="0" xfId="0" applyAlignment="1" applyBorder="1" applyFont="1">
      <alignment vertical="top"/>
    </xf>
    <xf borderId="36" fillId="0" fontId="7" numFmtId="0" xfId="0" applyAlignment="1" applyBorder="1" applyFont="1">
      <alignment vertical="top"/>
    </xf>
    <xf borderId="37" fillId="0" fontId="7" numFmtId="0" xfId="0" applyAlignment="1" applyBorder="1" applyFont="1">
      <alignment vertical="top"/>
    </xf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8E6"/>
          <bgColor rgb="FFFCE8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962025</xdr:colOff>
      <xdr:row>27</xdr:row>
      <xdr:rowOff>161925</xdr:rowOff>
    </xdr:from>
    <xdr:ext cx="1485900" cy="30480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cholar.google.com/citations?user=Fo_tsI8AAAAJ&amp;hl=en" TargetMode="External"/><Relationship Id="rId2" Type="http://schemas.openxmlformats.org/officeDocument/2006/relationships/hyperlink" Target="https://scholar.google.com/citations?user=rKnnHqAAAAAJ&amp;hl=en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6.0"/>
    <col customWidth="1" min="3" max="3" width="14.0"/>
    <col customWidth="1" min="4" max="4" width="16.0"/>
    <col customWidth="1" min="5" max="5" width="11.0"/>
    <col customWidth="1" min="6" max="7" width="13.0"/>
    <col customWidth="1" min="8" max="10" width="12.0"/>
    <col customWidth="1" min="11" max="16" width="11.0"/>
    <col customWidth="1" min="17" max="17" width="16.0"/>
    <col customWidth="1" min="18" max="18" width="12.0"/>
    <col customWidth="1" min="19" max="19" width="14.0"/>
    <col customWidth="1" min="20" max="21" width="18.0"/>
    <col customWidth="1" min="22" max="22" width="22.0"/>
    <col customWidth="1" min="23" max="26" width="8.86"/>
  </cols>
  <sheetData>
    <row r="1" ht="31.5" customHeight="1">
      <c r="A1" s="2"/>
      <c r="B1" s="6" t="s">
        <v>1</v>
      </c>
      <c r="C1" s="8"/>
      <c r="D1" s="11"/>
      <c r="E1" s="12" t="s">
        <v>7</v>
      </c>
      <c r="F1" s="8"/>
      <c r="G1" s="8"/>
      <c r="H1" s="8"/>
      <c r="I1" s="8"/>
      <c r="J1" s="8"/>
      <c r="K1" s="8"/>
      <c r="L1" s="16" t="s">
        <v>0</v>
      </c>
      <c r="M1" s="8"/>
      <c r="N1" s="8"/>
      <c r="O1" s="24" t="s">
        <v>3</v>
      </c>
      <c r="P1" s="8"/>
      <c r="Q1" s="8"/>
      <c r="R1" s="8"/>
      <c r="S1" s="8"/>
      <c r="T1" s="8"/>
      <c r="U1" s="8"/>
      <c r="V1" s="11"/>
      <c r="W1" s="1"/>
      <c r="X1" s="1"/>
      <c r="Y1" s="1"/>
      <c r="Z1" s="1"/>
    </row>
    <row r="2" ht="31.5" customHeight="1">
      <c r="A2" s="2"/>
      <c r="B2" s="28" t="s">
        <v>25</v>
      </c>
      <c r="C2" s="8"/>
      <c r="D2" s="11"/>
      <c r="E2" s="12" t="s">
        <v>26</v>
      </c>
      <c r="F2" s="8"/>
      <c r="G2" s="8"/>
      <c r="H2" s="8"/>
      <c r="I2" s="8"/>
      <c r="J2" s="8"/>
      <c r="K2" s="8"/>
      <c r="L2" s="16" t="s">
        <v>4</v>
      </c>
      <c r="M2" s="8"/>
      <c r="N2" s="8"/>
      <c r="O2" s="24" t="s">
        <v>6</v>
      </c>
      <c r="P2" s="8"/>
      <c r="Q2" s="8"/>
      <c r="R2" s="8"/>
      <c r="S2" s="8"/>
      <c r="T2" s="8"/>
      <c r="U2" s="8"/>
      <c r="V2" s="11"/>
      <c r="W2" s="1"/>
      <c r="X2" s="1"/>
      <c r="Y2" s="1"/>
      <c r="Z2" s="1"/>
    </row>
    <row r="3" ht="55.5" customHeight="1">
      <c r="A3" s="33" t="s">
        <v>11</v>
      </c>
      <c r="B3" s="33" t="s">
        <v>28</v>
      </c>
      <c r="C3" s="33" t="s">
        <v>30</v>
      </c>
      <c r="D3" s="33" t="s">
        <v>32</v>
      </c>
      <c r="E3" s="35" t="s">
        <v>34</v>
      </c>
      <c r="F3" s="8"/>
      <c r="G3" s="11"/>
      <c r="H3" s="35" t="s">
        <v>35</v>
      </c>
      <c r="I3" s="8"/>
      <c r="J3" s="11"/>
      <c r="K3" s="35" t="s">
        <v>38</v>
      </c>
      <c r="L3" s="8"/>
      <c r="M3" s="11"/>
      <c r="N3" s="35" t="s">
        <v>41</v>
      </c>
      <c r="O3" s="8"/>
      <c r="P3" s="11"/>
      <c r="Q3" s="33" t="s">
        <v>45</v>
      </c>
      <c r="R3" s="39"/>
      <c r="S3" s="8"/>
      <c r="T3" s="8"/>
      <c r="U3" s="8"/>
      <c r="V3" s="11"/>
      <c r="W3" s="41"/>
      <c r="X3" s="41"/>
      <c r="Y3" s="41"/>
      <c r="Z3" s="41"/>
    </row>
    <row r="4" ht="55.5" customHeight="1">
      <c r="A4" s="44"/>
      <c r="B4" s="44"/>
      <c r="C4" s="44"/>
      <c r="D4" s="44"/>
      <c r="E4" s="47" t="s">
        <v>55</v>
      </c>
      <c r="F4" s="47" t="s">
        <v>61</v>
      </c>
      <c r="G4" s="47" t="s">
        <v>64</v>
      </c>
      <c r="H4" s="47" t="s">
        <v>65</v>
      </c>
      <c r="I4" s="47" t="s">
        <v>67</v>
      </c>
      <c r="J4" s="47" t="s">
        <v>68</v>
      </c>
      <c r="K4" s="47" t="s">
        <v>65</v>
      </c>
      <c r="L4" s="47" t="s">
        <v>67</v>
      </c>
      <c r="M4" s="47" t="s">
        <v>68</v>
      </c>
      <c r="N4" s="47" t="s">
        <v>65</v>
      </c>
      <c r="O4" s="47" t="s">
        <v>67</v>
      </c>
      <c r="P4" s="47" t="s">
        <v>68</v>
      </c>
      <c r="Q4" s="44"/>
      <c r="R4" s="47" t="s">
        <v>70</v>
      </c>
      <c r="S4" s="47" t="s">
        <v>72</v>
      </c>
      <c r="T4" s="47" t="s">
        <v>74</v>
      </c>
      <c r="U4" s="47" t="s">
        <v>75</v>
      </c>
      <c r="V4" s="47" t="s">
        <v>76</v>
      </c>
      <c r="W4" s="1"/>
      <c r="X4" s="1"/>
      <c r="Y4" s="1"/>
      <c r="Z4" s="1"/>
    </row>
    <row r="5" ht="15.75" customHeight="1">
      <c r="A5" s="50">
        <v>1.0</v>
      </c>
      <c r="B5" s="52" t="s">
        <v>79</v>
      </c>
      <c r="C5" s="52">
        <v>2021.0</v>
      </c>
      <c r="D5" s="52" t="s">
        <v>82</v>
      </c>
      <c r="E5" s="55">
        <v>0.0</v>
      </c>
      <c r="F5" s="55">
        <v>0.0</v>
      </c>
      <c r="G5" s="55">
        <v>2.0</v>
      </c>
      <c r="H5" s="59" t="s">
        <v>84</v>
      </c>
      <c r="I5" s="59" t="s">
        <v>88</v>
      </c>
      <c r="J5" s="59" t="s">
        <v>84</v>
      </c>
      <c r="K5" s="61">
        <v>6.0</v>
      </c>
      <c r="L5" s="55" t="s">
        <v>88</v>
      </c>
      <c r="M5" s="55">
        <v>5.0</v>
      </c>
      <c r="N5" s="62">
        <v>2.0</v>
      </c>
      <c r="O5" s="62" t="s">
        <v>88</v>
      </c>
      <c r="P5" s="62">
        <v>1.0</v>
      </c>
      <c r="Q5" s="63" t="s">
        <v>79</v>
      </c>
      <c r="R5" s="64" t="s">
        <v>52</v>
      </c>
      <c r="S5" s="64" t="s">
        <v>97</v>
      </c>
      <c r="T5" s="64" t="s">
        <v>97</v>
      </c>
      <c r="U5" s="64" t="s">
        <v>44</v>
      </c>
      <c r="V5" s="64" t="s">
        <v>98</v>
      </c>
      <c r="W5" s="66"/>
      <c r="X5" s="66"/>
      <c r="Y5" s="66"/>
      <c r="Z5" s="66"/>
    </row>
    <row r="6" ht="15.75" customHeight="1">
      <c r="A6" s="67" t="str">
        <f t="shared" ref="A6:A34" si="1">IF(B6="","",ROW()-4)</f>
        <v/>
      </c>
      <c r="B6" s="68"/>
      <c r="C6" s="68"/>
      <c r="D6" s="68"/>
      <c r="E6" s="69"/>
      <c r="F6" s="69"/>
      <c r="G6" s="69"/>
      <c r="H6" s="71"/>
      <c r="I6" s="71"/>
      <c r="J6" s="71"/>
      <c r="K6" s="69"/>
      <c r="L6" s="69"/>
      <c r="M6" s="69"/>
      <c r="N6" s="72"/>
      <c r="O6" s="72"/>
      <c r="P6" s="72"/>
      <c r="Q6" s="73"/>
      <c r="R6" s="74"/>
      <c r="S6" s="74"/>
      <c r="T6" s="74"/>
      <c r="U6" s="74"/>
      <c r="V6" s="74"/>
      <c r="W6" s="1"/>
      <c r="X6" s="1"/>
      <c r="Y6" s="1"/>
      <c r="Z6" s="1"/>
    </row>
    <row r="7" ht="15.75" customHeight="1">
      <c r="A7" s="67" t="str">
        <f t="shared" si="1"/>
        <v/>
      </c>
      <c r="B7" s="68"/>
      <c r="C7" s="68"/>
      <c r="D7" s="68"/>
      <c r="E7" s="69"/>
      <c r="F7" s="69"/>
      <c r="G7" s="69"/>
      <c r="H7" s="71"/>
      <c r="I7" s="71"/>
      <c r="J7" s="71"/>
      <c r="K7" s="69"/>
      <c r="L7" s="69"/>
      <c r="M7" s="69"/>
      <c r="N7" s="72"/>
      <c r="O7" s="72"/>
      <c r="P7" s="72"/>
      <c r="Q7" s="73"/>
      <c r="R7" s="74"/>
      <c r="S7" s="74"/>
      <c r="T7" s="74"/>
      <c r="U7" s="74"/>
      <c r="V7" s="74"/>
      <c r="W7" s="1"/>
      <c r="X7" s="1"/>
      <c r="Y7" s="1"/>
      <c r="Z7" s="1"/>
    </row>
    <row r="8" ht="15.75" customHeight="1">
      <c r="A8" s="67" t="str">
        <f t="shared" si="1"/>
        <v/>
      </c>
      <c r="B8" s="68"/>
      <c r="C8" s="68"/>
      <c r="D8" s="68"/>
      <c r="E8" s="69"/>
      <c r="F8" s="69"/>
      <c r="G8" s="69"/>
      <c r="H8" s="71"/>
      <c r="I8" s="71"/>
      <c r="J8" s="71"/>
      <c r="K8" s="69"/>
      <c r="L8" s="69"/>
      <c r="M8" s="69"/>
      <c r="N8" s="72"/>
      <c r="O8" s="72"/>
      <c r="P8" s="72"/>
      <c r="Q8" s="73"/>
      <c r="R8" s="74"/>
      <c r="S8" s="74"/>
      <c r="T8" s="74"/>
      <c r="U8" s="74"/>
      <c r="V8" s="74"/>
      <c r="W8" s="1"/>
      <c r="X8" s="1"/>
      <c r="Y8" s="1"/>
      <c r="Z8" s="1"/>
    </row>
    <row r="9" ht="15.75" customHeight="1">
      <c r="A9" s="67" t="str">
        <f t="shared" si="1"/>
        <v/>
      </c>
      <c r="B9" s="68"/>
      <c r="C9" s="68"/>
      <c r="D9" s="68"/>
      <c r="E9" s="69"/>
      <c r="F9" s="69"/>
      <c r="G9" s="69"/>
      <c r="H9" s="71"/>
      <c r="I9" s="71"/>
      <c r="J9" s="71"/>
      <c r="K9" s="69"/>
      <c r="L9" s="69"/>
      <c r="M9" s="69"/>
      <c r="N9" s="72"/>
      <c r="O9" s="72"/>
      <c r="P9" s="72"/>
      <c r="Q9" s="73"/>
      <c r="R9" s="74"/>
      <c r="S9" s="74"/>
      <c r="T9" s="74"/>
      <c r="U9" s="74"/>
      <c r="V9" s="74"/>
      <c r="W9" s="1"/>
      <c r="X9" s="1"/>
      <c r="Y9" s="1"/>
      <c r="Z9" s="1"/>
    </row>
    <row r="10" ht="15.75" customHeight="1">
      <c r="A10" s="67" t="str">
        <f t="shared" si="1"/>
        <v/>
      </c>
      <c r="B10" s="68"/>
      <c r="C10" s="68"/>
      <c r="D10" s="68"/>
      <c r="E10" s="69"/>
      <c r="F10" s="69"/>
      <c r="G10" s="69"/>
      <c r="H10" s="71"/>
      <c r="I10" s="71"/>
      <c r="J10" s="71"/>
      <c r="K10" s="69"/>
      <c r="L10" s="69"/>
      <c r="M10" s="69"/>
      <c r="N10" s="72"/>
      <c r="O10" s="72"/>
      <c r="P10" s="72"/>
      <c r="Q10" s="73"/>
      <c r="R10" s="74"/>
      <c r="S10" s="74"/>
      <c r="T10" s="74"/>
      <c r="U10" s="74"/>
      <c r="V10" s="74"/>
      <c r="W10" s="1"/>
      <c r="X10" s="1"/>
      <c r="Y10" s="1"/>
      <c r="Z10" s="1"/>
    </row>
    <row r="11" ht="15.75" customHeight="1">
      <c r="A11" s="67" t="str">
        <f t="shared" si="1"/>
        <v/>
      </c>
      <c r="B11" s="68"/>
      <c r="C11" s="68"/>
      <c r="D11" s="68"/>
      <c r="E11" s="69"/>
      <c r="F11" s="69"/>
      <c r="G11" s="69"/>
      <c r="H11" s="71"/>
      <c r="I11" s="71"/>
      <c r="J11" s="71"/>
      <c r="K11" s="69"/>
      <c r="L11" s="69"/>
      <c r="M11" s="69"/>
      <c r="N11" s="72"/>
      <c r="O11" s="72"/>
      <c r="P11" s="72"/>
      <c r="Q11" s="73"/>
      <c r="R11" s="74"/>
      <c r="S11" s="74"/>
      <c r="T11" s="74"/>
      <c r="U11" s="74"/>
      <c r="V11" s="74"/>
      <c r="W11" s="1"/>
      <c r="X11" s="1"/>
      <c r="Y11" s="1"/>
      <c r="Z11" s="1"/>
    </row>
    <row r="12" ht="15.75" customHeight="1">
      <c r="A12" s="67" t="str">
        <f t="shared" si="1"/>
        <v/>
      </c>
      <c r="B12" s="68"/>
      <c r="C12" s="68"/>
      <c r="D12" s="68"/>
      <c r="E12" s="69"/>
      <c r="F12" s="69"/>
      <c r="G12" s="69"/>
      <c r="H12" s="71"/>
      <c r="I12" s="71"/>
      <c r="J12" s="71"/>
      <c r="K12" s="69"/>
      <c r="L12" s="69"/>
      <c r="M12" s="69"/>
      <c r="N12" s="72"/>
      <c r="O12" s="72"/>
      <c r="P12" s="72"/>
      <c r="Q12" s="73"/>
      <c r="R12" s="74"/>
      <c r="S12" s="74"/>
      <c r="T12" s="74"/>
      <c r="U12" s="74"/>
      <c r="V12" s="74"/>
      <c r="W12" s="1"/>
      <c r="X12" s="1"/>
      <c r="Y12" s="1"/>
      <c r="Z12" s="1"/>
    </row>
    <row r="13" ht="15.75" customHeight="1">
      <c r="A13" s="67" t="str">
        <f t="shared" si="1"/>
        <v/>
      </c>
      <c r="B13" s="68"/>
      <c r="C13" s="68"/>
      <c r="D13" s="68"/>
      <c r="E13" s="69"/>
      <c r="F13" s="69"/>
      <c r="G13" s="69"/>
      <c r="H13" s="71"/>
      <c r="I13" s="71"/>
      <c r="J13" s="71"/>
      <c r="K13" s="69"/>
      <c r="L13" s="69"/>
      <c r="M13" s="69"/>
      <c r="N13" s="72"/>
      <c r="O13" s="72"/>
      <c r="P13" s="72"/>
      <c r="Q13" s="73"/>
      <c r="R13" s="74"/>
      <c r="S13" s="74"/>
      <c r="T13" s="74"/>
      <c r="U13" s="74"/>
      <c r="V13" s="74"/>
      <c r="W13" s="1"/>
      <c r="X13" s="1"/>
      <c r="Y13" s="1"/>
      <c r="Z13" s="1"/>
    </row>
    <row r="14" ht="15.75" customHeight="1">
      <c r="A14" s="67" t="str">
        <f t="shared" si="1"/>
        <v/>
      </c>
      <c r="B14" s="68"/>
      <c r="C14" s="68"/>
      <c r="D14" s="68"/>
      <c r="E14" s="69"/>
      <c r="F14" s="69"/>
      <c r="G14" s="69"/>
      <c r="H14" s="71"/>
      <c r="I14" s="71"/>
      <c r="J14" s="71"/>
      <c r="K14" s="69"/>
      <c r="L14" s="69"/>
      <c r="M14" s="69"/>
      <c r="N14" s="72"/>
      <c r="O14" s="72"/>
      <c r="P14" s="72"/>
      <c r="Q14" s="73"/>
      <c r="R14" s="74"/>
      <c r="S14" s="74"/>
      <c r="T14" s="74"/>
      <c r="U14" s="74"/>
      <c r="V14" s="74"/>
      <c r="W14" s="1"/>
      <c r="X14" s="1"/>
      <c r="Y14" s="1"/>
      <c r="Z14" s="1"/>
    </row>
    <row r="15" ht="15.75" customHeight="1">
      <c r="A15" s="67" t="str">
        <f t="shared" si="1"/>
        <v/>
      </c>
      <c r="B15" s="68"/>
      <c r="C15" s="68"/>
      <c r="D15" s="68"/>
      <c r="E15" s="69"/>
      <c r="F15" s="69"/>
      <c r="G15" s="69"/>
      <c r="H15" s="71"/>
      <c r="I15" s="71"/>
      <c r="J15" s="71"/>
      <c r="K15" s="69"/>
      <c r="L15" s="69"/>
      <c r="M15" s="69"/>
      <c r="N15" s="72"/>
      <c r="O15" s="72"/>
      <c r="P15" s="72"/>
      <c r="Q15" s="73"/>
      <c r="R15" s="74"/>
      <c r="S15" s="74"/>
      <c r="T15" s="74"/>
      <c r="U15" s="74"/>
      <c r="V15" s="74"/>
      <c r="W15" s="1"/>
      <c r="X15" s="1"/>
      <c r="Y15" s="1"/>
      <c r="Z15" s="1"/>
    </row>
    <row r="16" ht="15.75" customHeight="1">
      <c r="A16" s="67" t="str">
        <f t="shared" si="1"/>
        <v/>
      </c>
      <c r="B16" s="68"/>
      <c r="C16" s="68"/>
      <c r="D16" s="68"/>
      <c r="E16" s="69"/>
      <c r="F16" s="69"/>
      <c r="G16" s="69"/>
      <c r="H16" s="71"/>
      <c r="I16" s="71"/>
      <c r="J16" s="71"/>
      <c r="K16" s="69"/>
      <c r="L16" s="69"/>
      <c r="M16" s="69"/>
      <c r="N16" s="72"/>
      <c r="O16" s="72"/>
      <c r="P16" s="72"/>
      <c r="Q16" s="73"/>
      <c r="R16" s="74"/>
      <c r="S16" s="74"/>
      <c r="T16" s="74"/>
      <c r="U16" s="74"/>
      <c r="V16" s="74"/>
      <c r="W16" s="1"/>
      <c r="X16" s="1"/>
      <c r="Y16" s="1"/>
      <c r="Z16" s="1"/>
    </row>
    <row r="17" ht="15.75" customHeight="1">
      <c r="A17" s="67" t="str">
        <f t="shared" si="1"/>
        <v/>
      </c>
      <c r="B17" s="68"/>
      <c r="C17" s="68"/>
      <c r="D17" s="68"/>
      <c r="E17" s="69"/>
      <c r="F17" s="69"/>
      <c r="G17" s="69"/>
      <c r="H17" s="71"/>
      <c r="I17" s="71"/>
      <c r="J17" s="71"/>
      <c r="K17" s="69"/>
      <c r="L17" s="69"/>
      <c r="M17" s="69"/>
      <c r="N17" s="72"/>
      <c r="O17" s="72"/>
      <c r="P17" s="72"/>
      <c r="Q17" s="73"/>
      <c r="R17" s="74"/>
      <c r="S17" s="74"/>
      <c r="T17" s="74"/>
      <c r="U17" s="74"/>
      <c r="V17" s="74"/>
      <c r="W17" s="1"/>
      <c r="X17" s="1"/>
      <c r="Y17" s="1"/>
      <c r="Z17" s="1"/>
    </row>
    <row r="18" ht="15.75" customHeight="1">
      <c r="A18" s="67" t="str">
        <f t="shared" si="1"/>
        <v/>
      </c>
      <c r="B18" s="68"/>
      <c r="C18" s="68"/>
      <c r="D18" s="68"/>
      <c r="E18" s="69"/>
      <c r="F18" s="69"/>
      <c r="G18" s="69"/>
      <c r="H18" s="71"/>
      <c r="I18" s="71"/>
      <c r="J18" s="71"/>
      <c r="K18" s="69"/>
      <c r="L18" s="69"/>
      <c r="M18" s="69"/>
      <c r="N18" s="72"/>
      <c r="O18" s="72"/>
      <c r="P18" s="72"/>
      <c r="Q18" s="73"/>
      <c r="R18" s="74"/>
      <c r="S18" s="74"/>
      <c r="T18" s="74"/>
      <c r="U18" s="74"/>
      <c r="V18" s="74"/>
      <c r="W18" s="1"/>
      <c r="X18" s="1"/>
      <c r="Y18" s="1"/>
      <c r="Z18" s="1"/>
    </row>
    <row r="19" ht="15.75" customHeight="1">
      <c r="A19" s="67" t="str">
        <f t="shared" si="1"/>
        <v/>
      </c>
      <c r="B19" s="68"/>
      <c r="C19" s="68"/>
      <c r="D19" s="68"/>
      <c r="E19" s="69"/>
      <c r="F19" s="69"/>
      <c r="G19" s="69"/>
      <c r="H19" s="71"/>
      <c r="I19" s="71"/>
      <c r="J19" s="71"/>
      <c r="K19" s="69"/>
      <c r="L19" s="69"/>
      <c r="M19" s="69"/>
      <c r="N19" s="72"/>
      <c r="O19" s="72"/>
      <c r="P19" s="72"/>
      <c r="Q19" s="73"/>
      <c r="R19" s="74"/>
      <c r="S19" s="74"/>
      <c r="T19" s="74"/>
      <c r="U19" s="74"/>
      <c r="V19" s="74"/>
      <c r="W19" s="1"/>
      <c r="X19" s="1"/>
      <c r="Y19" s="1"/>
      <c r="Z19" s="1"/>
    </row>
    <row r="20" ht="15.75" customHeight="1">
      <c r="A20" s="75" t="str">
        <f t="shared" si="1"/>
        <v/>
      </c>
      <c r="B20" s="77"/>
      <c r="C20" s="77"/>
      <c r="D20" s="77"/>
      <c r="E20" s="78"/>
      <c r="F20" s="78"/>
      <c r="G20" s="78"/>
      <c r="H20" s="93"/>
      <c r="I20" s="93"/>
      <c r="J20" s="93"/>
      <c r="K20" s="78"/>
      <c r="L20" s="78"/>
      <c r="M20" s="78"/>
      <c r="N20" s="78"/>
      <c r="O20" s="78"/>
      <c r="P20" s="78"/>
      <c r="Q20" s="96"/>
      <c r="R20" s="77"/>
      <c r="S20" s="77"/>
      <c r="T20" s="77"/>
      <c r="U20" s="77"/>
      <c r="V20" s="79"/>
      <c r="W20" s="1"/>
      <c r="X20" s="1"/>
      <c r="Y20" s="1"/>
      <c r="Z20" s="1"/>
    </row>
    <row r="21" ht="15.75" customHeight="1">
      <c r="A21" s="75" t="str">
        <f t="shared" si="1"/>
        <v/>
      </c>
      <c r="B21" s="77"/>
      <c r="C21" s="77"/>
      <c r="D21" s="77"/>
      <c r="E21" s="78"/>
      <c r="F21" s="78"/>
      <c r="G21" s="78"/>
      <c r="H21" s="93"/>
      <c r="I21" s="93"/>
      <c r="J21" s="93"/>
      <c r="K21" s="78"/>
      <c r="L21" s="78"/>
      <c r="M21" s="78"/>
      <c r="N21" s="78"/>
      <c r="O21" s="78"/>
      <c r="P21" s="78"/>
      <c r="Q21" s="96"/>
      <c r="R21" s="77"/>
      <c r="S21" s="77"/>
      <c r="T21" s="77"/>
      <c r="U21" s="77"/>
      <c r="V21" s="79"/>
      <c r="W21" s="1"/>
      <c r="X21" s="1"/>
      <c r="Y21" s="1"/>
      <c r="Z21" s="1"/>
    </row>
    <row r="22" ht="15.75" customHeight="1">
      <c r="A22" s="75" t="str">
        <f t="shared" si="1"/>
        <v/>
      </c>
      <c r="B22" s="77"/>
      <c r="C22" s="77"/>
      <c r="D22" s="77"/>
      <c r="E22" s="78"/>
      <c r="F22" s="78"/>
      <c r="G22" s="78"/>
      <c r="H22" s="93"/>
      <c r="I22" s="93"/>
      <c r="J22" s="93"/>
      <c r="K22" s="78"/>
      <c r="L22" s="78"/>
      <c r="M22" s="78"/>
      <c r="N22" s="78"/>
      <c r="O22" s="78"/>
      <c r="P22" s="78"/>
      <c r="Q22" s="96"/>
      <c r="R22" s="77"/>
      <c r="S22" s="77"/>
      <c r="T22" s="77"/>
      <c r="U22" s="77"/>
      <c r="V22" s="79"/>
      <c r="W22" s="1"/>
      <c r="X22" s="1"/>
      <c r="Y22" s="1"/>
      <c r="Z22" s="1"/>
    </row>
    <row r="23" ht="15.75" customHeight="1">
      <c r="A23" s="75" t="str">
        <f t="shared" si="1"/>
        <v/>
      </c>
      <c r="B23" s="77"/>
      <c r="C23" s="77"/>
      <c r="D23" s="77"/>
      <c r="E23" s="78"/>
      <c r="F23" s="78"/>
      <c r="G23" s="78"/>
      <c r="H23" s="93"/>
      <c r="I23" s="93"/>
      <c r="J23" s="93"/>
      <c r="K23" s="78"/>
      <c r="L23" s="78"/>
      <c r="M23" s="78"/>
      <c r="N23" s="78"/>
      <c r="O23" s="78"/>
      <c r="P23" s="78"/>
      <c r="Q23" s="96"/>
      <c r="R23" s="77"/>
      <c r="S23" s="77"/>
      <c r="T23" s="77"/>
      <c r="U23" s="77"/>
      <c r="V23" s="79"/>
      <c r="W23" s="1"/>
      <c r="X23" s="1"/>
      <c r="Y23" s="1"/>
      <c r="Z23" s="1"/>
    </row>
    <row r="24" ht="15.75" customHeight="1">
      <c r="A24" s="75" t="str">
        <f t="shared" si="1"/>
        <v/>
      </c>
      <c r="B24" s="77"/>
      <c r="C24" s="77"/>
      <c r="D24" s="77"/>
      <c r="E24" s="78"/>
      <c r="F24" s="78"/>
      <c r="G24" s="78"/>
      <c r="H24" s="93"/>
      <c r="I24" s="93"/>
      <c r="J24" s="93"/>
      <c r="K24" s="78"/>
      <c r="L24" s="78"/>
      <c r="M24" s="78"/>
      <c r="N24" s="78"/>
      <c r="O24" s="78"/>
      <c r="P24" s="78"/>
      <c r="Q24" s="96"/>
      <c r="R24" s="77"/>
      <c r="S24" s="77"/>
      <c r="T24" s="77"/>
      <c r="U24" s="77"/>
      <c r="V24" s="79"/>
      <c r="W24" s="1"/>
      <c r="X24" s="1"/>
      <c r="Y24" s="1"/>
      <c r="Z24" s="1"/>
    </row>
    <row r="25" ht="15.75" customHeight="1">
      <c r="A25" s="75" t="str">
        <f t="shared" si="1"/>
        <v/>
      </c>
      <c r="B25" s="77"/>
      <c r="C25" s="77"/>
      <c r="D25" s="77"/>
      <c r="E25" s="78"/>
      <c r="F25" s="78"/>
      <c r="G25" s="78"/>
      <c r="H25" s="93"/>
      <c r="I25" s="93"/>
      <c r="J25" s="93"/>
      <c r="K25" s="78"/>
      <c r="L25" s="78"/>
      <c r="M25" s="78"/>
      <c r="N25" s="78"/>
      <c r="O25" s="78"/>
      <c r="P25" s="78"/>
      <c r="Q25" s="96"/>
      <c r="R25" s="77"/>
      <c r="S25" s="77"/>
      <c r="T25" s="77"/>
      <c r="U25" s="77"/>
      <c r="V25" s="79"/>
      <c r="W25" s="1"/>
      <c r="X25" s="1"/>
      <c r="Y25" s="1"/>
      <c r="Z25" s="1"/>
    </row>
    <row r="26" ht="15.75" customHeight="1">
      <c r="A26" s="75" t="str">
        <f t="shared" si="1"/>
        <v/>
      </c>
      <c r="B26" s="77"/>
      <c r="C26" s="77"/>
      <c r="D26" s="77"/>
      <c r="E26" s="78"/>
      <c r="F26" s="78"/>
      <c r="G26" s="78"/>
      <c r="H26" s="93"/>
      <c r="I26" s="93"/>
      <c r="J26" s="93"/>
      <c r="K26" s="78"/>
      <c r="L26" s="78"/>
      <c r="M26" s="78"/>
      <c r="N26" s="78"/>
      <c r="O26" s="78"/>
      <c r="P26" s="78"/>
      <c r="Q26" s="96"/>
      <c r="R26" s="77"/>
      <c r="S26" s="77"/>
      <c r="T26" s="77"/>
      <c r="U26" s="77"/>
      <c r="V26" s="79"/>
      <c r="W26" s="1"/>
      <c r="X26" s="1"/>
      <c r="Y26" s="1"/>
      <c r="Z26" s="1"/>
    </row>
    <row r="27" ht="15.75" customHeight="1">
      <c r="A27" s="75" t="str">
        <f t="shared" si="1"/>
        <v/>
      </c>
      <c r="B27" s="77"/>
      <c r="C27" s="77"/>
      <c r="D27" s="77"/>
      <c r="E27" s="78"/>
      <c r="F27" s="78"/>
      <c r="G27" s="78"/>
      <c r="H27" s="93"/>
      <c r="I27" s="93"/>
      <c r="J27" s="93"/>
      <c r="K27" s="78"/>
      <c r="L27" s="78"/>
      <c r="M27" s="78"/>
      <c r="N27" s="78"/>
      <c r="O27" s="78"/>
      <c r="P27" s="78"/>
      <c r="Q27" s="96"/>
      <c r="R27" s="77"/>
      <c r="S27" s="77"/>
      <c r="T27" s="77"/>
      <c r="U27" s="77"/>
      <c r="V27" s="79"/>
      <c r="W27" s="1"/>
      <c r="X27" s="1"/>
      <c r="Y27" s="1"/>
      <c r="Z27" s="1"/>
    </row>
    <row r="28" ht="15.75" customHeight="1">
      <c r="A28" s="75" t="str">
        <f t="shared" si="1"/>
        <v/>
      </c>
      <c r="B28" s="77"/>
      <c r="C28" s="77"/>
      <c r="D28" s="77"/>
      <c r="E28" s="78"/>
      <c r="F28" s="78"/>
      <c r="G28" s="78"/>
      <c r="H28" s="93"/>
      <c r="I28" s="93"/>
      <c r="J28" s="93"/>
      <c r="K28" s="78"/>
      <c r="L28" s="78"/>
      <c r="M28" s="78"/>
      <c r="N28" s="78"/>
      <c r="O28" s="78"/>
      <c r="P28" s="78"/>
      <c r="Q28" s="96"/>
      <c r="R28" s="77"/>
      <c r="S28" s="77"/>
      <c r="T28" s="77"/>
      <c r="U28" s="77"/>
      <c r="V28" s="79"/>
      <c r="W28" s="1"/>
      <c r="X28" s="1"/>
      <c r="Y28" s="1"/>
      <c r="Z28" s="1"/>
    </row>
    <row r="29" ht="15.75" customHeight="1">
      <c r="A29" s="75" t="str">
        <f t="shared" si="1"/>
        <v/>
      </c>
      <c r="B29" s="77"/>
      <c r="C29" s="77"/>
      <c r="D29" s="77"/>
      <c r="E29" s="78"/>
      <c r="F29" s="78"/>
      <c r="G29" s="78"/>
      <c r="H29" s="93"/>
      <c r="I29" s="93"/>
      <c r="J29" s="93"/>
      <c r="K29" s="78"/>
      <c r="L29" s="78"/>
      <c r="M29" s="78"/>
      <c r="N29" s="78"/>
      <c r="O29" s="78"/>
      <c r="P29" s="78"/>
      <c r="Q29" s="96"/>
      <c r="R29" s="77"/>
      <c r="S29" s="77"/>
      <c r="T29" s="77"/>
      <c r="U29" s="77"/>
      <c r="V29" s="79"/>
      <c r="W29" s="1"/>
      <c r="X29" s="1"/>
      <c r="Y29" s="1"/>
      <c r="Z29" s="1"/>
    </row>
    <row r="30" ht="15.75" customHeight="1">
      <c r="A30" s="75" t="str">
        <f t="shared" si="1"/>
        <v/>
      </c>
      <c r="B30" s="77"/>
      <c r="C30" s="77"/>
      <c r="D30" s="77"/>
      <c r="E30" s="78"/>
      <c r="F30" s="78"/>
      <c r="G30" s="78"/>
      <c r="H30" s="93"/>
      <c r="I30" s="93"/>
      <c r="J30" s="93"/>
      <c r="K30" s="78"/>
      <c r="L30" s="78"/>
      <c r="M30" s="78"/>
      <c r="N30" s="78"/>
      <c r="O30" s="78"/>
      <c r="P30" s="78"/>
      <c r="Q30" s="96"/>
      <c r="R30" s="77"/>
      <c r="S30" s="77"/>
      <c r="T30" s="77"/>
      <c r="U30" s="77"/>
      <c r="V30" s="79"/>
      <c r="W30" s="1"/>
      <c r="X30" s="1"/>
      <c r="Y30" s="1"/>
      <c r="Z30" s="1"/>
    </row>
    <row r="31" ht="15.75" customHeight="1">
      <c r="A31" s="75" t="str">
        <f t="shared" si="1"/>
        <v/>
      </c>
      <c r="B31" s="77"/>
      <c r="C31" s="77"/>
      <c r="D31" s="77"/>
      <c r="E31" s="78"/>
      <c r="F31" s="78"/>
      <c r="G31" s="78"/>
      <c r="H31" s="93"/>
      <c r="I31" s="93"/>
      <c r="J31" s="93"/>
      <c r="K31" s="78"/>
      <c r="L31" s="78"/>
      <c r="M31" s="78"/>
      <c r="N31" s="78"/>
      <c r="O31" s="78"/>
      <c r="P31" s="78"/>
      <c r="Q31" s="96"/>
      <c r="R31" s="77"/>
      <c r="S31" s="77"/>
      <c r="T31" s="77"/>
      <c r="U31" s="77"/>
      <c r="V31" s="79"/>
      <c r="W31" s="1"/>
      <c r="X31" s="1"/>
      <c r="Y31" s="1"/>
      <c r="Z31" s="1"/>
    </row>
    <row r="32" ht="15.75" customHeight="1">
      <c r="A32" s="75" t="str">
        <f t="shared" si="1"/>
        <v/>
      </c>
      <c r="B32" s="77"/>
      <c r="C32" s="77"/>
      <c r="D32" s="77"/>
      <c r="E32" s="78"/>
      <c r="F32" s="78"/>
      <c r="G32" s="78"/>
      <c r="H32" s="93"/>
      <c r="I32" s="93"/>
      <c r="J32" s="93"/>
      <c r="K32" s="78"/>
      <c r="L32" s="78"/>
      <c r="M32" s="78"/>
      <c r="N32" s="78"/>
      <c r="O32" s="78"/>
      <c r="P32" s="78"/>
      <c r="Q32" s="96"/>
      <c r="R32" s="77"/>
      <c r="S32" s="77"/>
      <c r="T32" s="77"/>
      <c r="U32" s="77"/>
      <c r="V32" s="79"/>
      <c r="W32" s="1"/>
      <c r="X32" s="1"/>
      <c r="Y32" s="1"/>
      <c r="Z32" s="1"/>
    </row>
    <row r="33" ht="15.75" customHeight="1">
      <c r="A33" s="75" t="str">
        <f t="shared" si="1"/>
        <v/>
      </c>
      <c r="B33" s="77"/>
      <c r="C33" s="77"/>
      <c r="D33" s="77"/>
      <c r="E33" s="78"/>
      <c r="F33" s="78"/>
      <c r="G33" s="78"/>
      <c r="H33" s="93"/>
      <c r="I33" s="93"/>
      <c r="J33" s="93"/>
      <c r="K33" s="78"/>
      <c r="L33" s="78"/>
      <c r="M33" s="78"/>
      <c r="N33" s="78"/>
      <c r="O33" s="78"/>
      <c r="P33" s="78"/>
      <c r="Q33" s="96"/>
      <c r="R33" s="77"/>
      <c r="S33" s="77"/>
      <c r="T33" s="77"/>
      <c r="U33" s="77"/>
      <c r="V33" s="79"/>
      <c r="W33" s="1"/>
      <c r="X33" s="1"/>
      <c r="Y33" s="1"/>
      <c r="Z33" s="1"/>
    </row>
    <row r="34" ht="15.75" customHeight="1">
      <c r="A34" s="90" t="str">
        <f t="shared" si="1"/>
        <v/>
      </c>
      <c r="B34" s="92"/>
      <c r="C34" s="92"/>
      <c r="D34" s="92"/>
      <c r="E34" s="94"/>
      <c r="F34" s="94"/>
      <c r="G34" s="94"/>
      <c r="H34" s="108"/>
      <c r="I34" s="108"/>
      <c r="J34" s="108"/>
      <c r="K34" s="94"/>
      <c r="L34" s="94"/>
      <c r="M34" s="94"/>
      <c r="N34" s="94"/>
      <c r="O34" s="94"/>
      <c r="P34" s="94"/>
      <c r="Q34" s="110"/>
      <c r="R34" s="92"/>
      <c r="S34" s="92"/>
      <c r="T34" s="92"/>
      <c r="U34" s="92"/>
      <c r="V34" s="97"/>
      <c r="W34" s="1"/>
      <c r="X34" s="1"/>
      <c r="Y34" s="1"/>
      <c r="Z34" s="1"/>
    </row>
    <row r="35" ht="15.75" customHeight="1">
      <c r="A35" s="1"/>
      <c r="B35" s="1"/>
      <c r="C35" s="113"/>
      <c r="H35" s="113"/>
      <c r="K35" s="1"/>
      <c r="N35" s="1"/>
      <c r="Q35" s="1"/>
      <c r="R35" s="113"/>
      <c r="S35" s="113"/>
      <c r="T35" s="113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13"/>
      <c r="H36" s="113"/>
      <c r="K36" s="1"/>
      <c r="N36" s="1"/>
      <c r="Q36" s="1"/>
      <c r="R36" s="113"/>
      <c r="S36" s="113"/>
      <c r="T36" s="113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13"/>
      <c r="H37" s="113"/>
      <c r="K37" s="1"/>
      <c r="N37" s="1"/>
      <c r="Q37" s="1"/>
      <c r="R37" s="113"/>
      <c r="S37" s="113"/>
      <c r="T37" s="113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13"/>
      <c r="H38" s="113"/>
      <c r="K38" s="1"/>
      <c r="N38" s="1"/>
      <c r="Q38" s="1"/>
      <c r="R38" s="113"/>
      <c r="S38" s="113"/>
      <c r="T38" s="113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13"/>
      <c r="H39" s="113"/>
      <c r="K39" s="1"/>
      <c r="N39" s="1"/>
      <c r="Q39" s="1"/>
      <c r="R39" s="113"/>
      <c r="S39" s="113"/>
      <c r="T39" s="113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13"/>
      <c r="H40" s="113"/>
      <c r="K40" s="1"/>
      <c r="N40" s="1"/>
      <c r="Q40" s="1"/>
      <c r="R40" s="113"/>
      <c r="S40" s="113"/>
      <c r="T40" s="113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13"/>
      <c r="H41" s="113"/>
      <c r="K41" s="1"/>
      <c r="N41" s="1"/>
      <c r="Q41" s="1"/>
      <c r="R41" s="113"/>
      <c r="S41" s="113"/>
      <c r="T41" s="113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13"/>
      <c r="H42" s="113"/>
      <c r="K42" s="1"/>
      <c r="N42" s="1"/>
      <c r="Q42" s="1"/>
      <c r="R42" s="113"/>
      <c r="S42" s="113"/>
      <c r="T42" s="113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13"/>
      <c r="H43" s="113"/>
      <c r="K43" s="1"/>
      <c r="N43" s="1"/>
      <c r="Q43" s="1"/>
      <c r="R43" s="113"/>
      <c r="S43" s="113"/>
      <c r="T43" s="113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13"/>
      <c r="H44" s="113"/>
      <c r="K44" s="1"/>
      <c r="N44" s="1"/>
      <c r="Q44" s="1"/>
      <c r="R44" s="113"/>
      <c r="S44" s="113"/>
      <c r="T44" s="113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13"/>
      <c r="H45" s="113"/>
      <c r="K45" s="1"/>
      <c r="N45" s="1"/>
      <c r="Q45" s="1"/>
      <c r="R45" s="113"/>
      <c r="S45" s="113"/>
      <c r="T45" s="113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13"/>
      <c r="H46" s="113"/>
      <c r="K46" s="1"/>
      <c r="N46" s="1"/>
      <c r="Q46" s="1"/>
      <c r="R46" s="113"/>
      <c r="S46" s="113"/>
      <c r="T46" s="113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13"/>
      <c r="H47" s="113"/>
      <c r="K47" s="1"/>
      <c r="N47" s="1"/>
      <c r="Q47" s="1"/>
      <c r="R47" s="113"/>
      <c r="S47" s="113"/>
      <c r="T47" s="113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13"/>
      <c r="H48" s="113"/>
      <c r="K48" s="1"/>
      <c r="N48" s="1"/>
      <c r="Q48" s="1"/>
      <c r="R48" s="113"/>
      <c r="S48" s="113"/>
      <c r="T48" s="113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13"/>
      <c r="H49" s="113"/>
      <c r="K49" s="1"/>
      <c r="N49" s="1"/>
      <c r="Q49" s="1"/>
      <c r="R49" s="113"/>
      <c r="S49" s="113"/>
      <c r="T49" s="113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13"/>
      <c r="H50" s="113"/>
      <c r="K50" s="1"/>
      <c r="N50" s="1"/>
      <c r="Q50" s="1"/>
      <c r="R50" s="113"/>
      <c r="S50" s="113"/>
      <c r="T50" s="113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13"/>
      <c r="H51" s="113"/>
      <c r="K51" s="1"/>
      <c r="N51" s="1"/>
      <c r="Q51" s="1"/>
      <c r="R51" s="113"/>
      <c r="S51" s="113"/>
      <c r="T51" s="113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13"/>
      <c r="H52" s="113"/>
      <c r="K52" s="1"/>
      <c r="N52" s="1"/>
      <c r="Q52" s="1"/>
      <c r="R52" s="113"/>
      <c r="S52" s="113"/>
      <c r="T52" s="113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13"/>
      <c r="H53" s="113"/>
      <c r="K53" s="1"/>
      <c r="N53" s="1"/>
      <c r="Q53" s="1"/>
      <c r="R53" s="113"/>
      <c r="S53" s="113"/>
      <c r="T53" s="113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13"/>
      <c r="H54" s="113"/>
      <c r="K54" s="1"/>
      <c r="N54" s="1"/>
      <c r="Q54" s="1"/>
      <c r="R54" s="113"/>
      <c r="S54" s="113"/>
      <c r="T54" s="113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13"/>
      <c r="H55" s="113"/>
      <c r="K55" s="1"/>
      <c r="N55" s="1"/>
      <c r="Q55" s="1"/>
      <c r="R55" s="113"/>
      <c r="S55" s="113"/>
      <c r="T55" s="113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13"/>
      <c r="H56" s="113"/>
      <c r="K56" s="1"/>
      <c r="N56" s="1"/>
      <c r="Q56" s="1"/>
      <c r="R56" s="113"/>
      <c r="S56" s="113"/>
      <c r="T56" s="113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13"/>
      <c r="H57" s="113"/>
      <c r="K57" s="1"/>
      <c r="N57" s="1"/>
      <c r="Q57" s="1"/>
      <c r="R57" s="113"/>
      <c r="S57" s="113"/>
      <c r="T57" s="113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13"/>
      <c r="H58" s="113"/>
      <c r="K58" s="1"/>
      <c r="N58" s="1"/>
      <c r="Q58" s="1"/>
      <c r="R58" s="113"/>
      <c r="S58" s="113"/>
      <c r="T58" s="113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13"/>
      <c r="H59" s="113"/>
      <c r="K59" s="1"/>
      <c r="N59" s="1"/>
      <c r="Q59" s="1"/>
      <c r="R59" s="113"/>
      <c r="S59" s="113"/>
      <c r="T59" s="113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13"/>
      <c r="H60" s="113"/>
      <c r="K60" s="1"/>
      <c r="N60" s="1"/>
      <c r="Q60" s="1"/>
      <c r="R60" s="113"/>
      <c r="S60" s="113"/>
      <c r="T60" s="113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13"/>
      <c r="H61" s="113"/>
      <c r="K61" s="1"/>
      <c r="N61" s="1"/>
      <c r="Q61" s="1"/>
      <c r="R61" s="113"/>
      <c r="S61" s="113"/>
      <c r="T61" s="113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13"/>
      <c r="H62" s="113"/>
      <c r="K62" s="1"/>
      <c r="N62" s="1"/>
      <c r="Q62" s="1"/>
      <c r="R62" s="113"/>
      <c r="S62" s="113"/>
      <c r="T62" s="113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13"/>
      <c r="H63" s="113"/>
      <c r="K63" s="1"/>
      <c r="N63" s="1"/>
      <c r="Q63" s="1"/>
      <c r="R63" s="113"/>
      <c r="S63" s="113"/>
      <c r="T63" s="113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13"/>
      <c r="H64" s="113"/>
      <c r="K64" s="1"/>
      <c r="N64" s="1"/>
      <c r="Q64" s="1"/>
      <c r="R64" s="113"/>
      <c r="S64" s="113"/>
      <c r="T64" s="113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13"/>
      <c r="H65" s="113"/>
      <c r="K65" s="1"/>
      <c r="N65" s="1"/>
      <c r="Q65" s="1"/>
      <c r="R65" s="113"/>
      <c r="S65" s="113"/>
      <c r="T65" s="113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13"/>
      <c r="H66" s="113"/>
      <c r="K66" s="1"/>
      <c r="N66" s="1"/>
      <c r="Q66" s="1"/>
      <c r="R66" s="113"/>
      <c r="S66" s="113"/>
      <c r="T66" s="113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13"/>
      <c r="H67" s="113"/>
      <c r="K67" s="1"/>
      <c r="N67" s="1"/>
      <c r="Q67" s="1"/>
      <c r="R67" s="113"/>
      <c r="S67" s="113"/>
      <c r="T67" s="113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13"/>
      <c r="H68" s="113"/>
      <c r="K68" s="1"/>
      <c r="N68" s="1"/>
      <c r="Q68" s="1"/>
      <c r="R68" s="113"/>
      <c r="S68" s="113"/>
      <c r="T68" s="113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13"/>
      <c r="H69" s="113"/>
      <c r="K69" s="1"/>
      <c r="N69" s="1"/>
      <c r="Q69" s="1"/>
      <c r="R69" s="113"/>
      <c r="S69" s="113"/>
      <c r="T69" s="113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13"/>
      <c r="H70" s="113"/>
      <c r="K70" s="1"/>
      <c r="N70" s="1"/>
      <c r="Q70" s="1"/>
      <c r="R70" s="113"/>
      <c r="S70" s="113"/>
      <c r="T70" s="113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13"/>
      <c r="H71" s="113"/>
      <c r="K71" s="1"/>
      <c r="N71" s="1"/>
      <c r="Q71" s="1"/>
      <c r="R71" s="113"/>
      <c r="S71" s="113"/>
      <c r="T71" s="113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13"/>
      <c r="H72" s="113"/>
      <c r="K72" s="1"/>
      <c r="N72" s="1"/>
      <c r="Q72" s="1"/>
      <c r="R72" s="113"/>
      <c r="S72" s="113"/>
      <c r="T72" s="113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13"/>
      <c r="H73" s="113"/>
      <c r="K73" s="1"/>
      <c r="N73" s="1"/>
      <c r="Q73" s="1"/>
      <c r="R73" s="113"/>
      <c r="S73" s="113"/>
      <c r="T73" s="113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13"/>
      <c r="H74" s="113"/>
      <c r="K74" s="1"/>
      <c r="N74" s="1"/>
      <c r="Q74" s="1"/>
      <c r="R74" s="113"/>
      <c r="S74" s="113"/>
      <c r="T74" s="113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13"/>
      <c r="H75" s="113"/>
      <c r="K75" s="1"/>
      <c r="N75" s="1"/>
      <c r="Q75" s="1"/>
      <c r="R75" s="113"/>
      <c r="S75" s="113"/>
      <c r="T75" s="113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13"/>
      <c r="H76" s="113"/>
      <c r="K76" s="1"/>
      <c r="N76" s="1"/>
      <c r="Q76" s="1"/>
      <c r="R76" s="113"/>
      <c r="S76" s="113"/>
      <c r="T76" s="113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13"/>
      <c r="H77" s="113"/>
      <c r="K77" s="1"/>
      <c r="N77" s="1"/>
      <c r="Q77" s="1"/>
      <c r="R77" s="113"/>
      <c r="S77" s="113"/>
      <c r="T77" s="113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13"/>
      <c r="H78" s="113"/>
      <c r="K78" s="1"/>
      <c r="N78" s="1"/>
      <c r="Q78" s="1"/>
      <c r="R78" s="113"/>
      <c r="S78" s="113"/>
      <c r="T78" s="113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13"/>
      <c r="H79" s="113"/>
      <c r="K79" s="1"/>
      <c r="N79" s="1"/>
      <c r="Q79" s="1"/>
      <c r="R79" s="113"/>
      <c r="S79" s="113"/>
      <c r="T79" s="113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13"/>
      <c r="H80" s="113"/>
      <c r="K80" s="1"/>
      <c r="N80" s="1"/>
      <c r="Q80" s="1"/>
      <c r="R80" s="113"/>
      <c r="S80" s="113"/>
      <c r="T80" s="113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13"/>
      <c r="H81" s="113"/>
      <c r="K81" s="1"/>
      <c r="N81" s="1"/>
      <c r="Q81" s="1"/>
      <c r="R81" s="113"/>
      <c r="S81" s="113"/>
      <c r="T81" s="113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13"/>
      <c r="H82" s="113"/>
      <c r="K82" s="1"/>
      <c r="N82" s="1"/>
      <c r="Q82" s="1"/>
      <c r="R82" s="113"/>
      <c r="S82" s="113"/>
      <c r="T82" s="113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13"/>
      <c r="H83" s="113"/>
      <c r="K83" s="1"/>
      <c r="N83" s="1"/>
      <c r="Q83" s="1"/>
      <c r="R83" s="113"/>
      <c r="S83" s="113"/>
      <c r="T83" s="113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13"/>
      <c r="H84" s="113"/>
      <c r="K84" s="1"/>
      <c r="N84" s="1"/>
      <c r="Q84" s="1"/>
      <c r="R84" s="113"/>
      <c r="S84" s="113"/>
      <c r="T84" s="113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13"/>
      <c r="H85" s="113"/>
      <c r="K85" s="1"/>
      <c r="N85" s="1"/>
      <c r="Q85" s="1"/>
      <c r="R85" s="113"/>
      <c r="S85" s="113"/>
      <c r="T85" s="113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13"/>
      <c r="H86" s="113"/>
      <c r="K86" s="1"/>
      <c r="N86" s="1"/>
      <c r="Q86" s="1"/>
      <c r="R86" s="113"/>
      <c r="S86" s="113"/>
      <c r="T86" s="113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13"/>
      <c r="H87" s="113"/>
      <c r="K87" s="1"/>
      <c r="N87" s="1"/>
      <c r="Q87" s="1"/>
      <c r="R87" s="113"/>
      <c r="S87" s="113"/>
      <c r="T87" s="113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13"/>
      <c r="H88" s="113"/>
      <c r="K88" s="1"/>
      <c r="N88" s="1"/>
      <c r="Q88" s="1"/>
      <c r="R88" s="113"/>
      <c r="S88" s="113"/>
      <c r="T88" s="113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13"/>
      <c r="H89" s="113"/>
      <c r="K89" s="1"/>
      <c r="N89" s="1"/>
      <c r="Q89" s="1"/>
      <c r="R89" s="113"/>
      <c r="S89" s="113"/>
      <c r="T89" s="113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13"/>
      <c r="H90" s="113"/>
      <c r="K90" s="1"/>
      <c r="N90" s="1"/>
      <c r="Q90" s="1"/>
      <c r="R90" s="113"/>
      <c r="S90" s="113"/>
      <c r="T90" s="113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13"/>
      <c r="H91" s="113"/>
      <c r="K91" s="1"/>
      <c r="N91" s="1"/>
      <c r="Q91" s="1"/>
      <c r="R91" s="113"/>
      <c r="S91" s="113"/>
      <c r="T91" s="113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13"/>
      <c r="H92" s="113"/>
      <c r="K92" s="1"/>
      <c r="N92" s="1"/>
      <c r="Q92" s="1"/>
      <c r="R92" s="113"/>
      <c r="S92" s="113"/>
      <c r="T92" s="113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13"/>
      <c r="H93" s="113"/>
      <c r="K93" s="1"/>
      <c r="N93" s="1"/>
      <c r="Q93" s="1"/>
      <c r="R93" s="113"/>
      <c r="S93" s="113"/>
      <c r="T93" s="113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13"/>
      <c r="H94" s="113"/>
      <c r="K94" s="1"/>
      <c r="N94" s="1"/>
      <c r="Q94" s="1"/>
      <c r="R94" s="113"/>
      <c r="S94" s="113"/>
      <c r="T94" s="113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13"/>
      <c r="H95" s="113"/>
      <c r="K95" s="1"/>
      <c r="N95" s="1"/>
      <c r="Q95" s="1"/>
      <c r="R95" s="113"/>
      <c r="S95" s="113"/>
      <c r="T95" s="113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13"/>
      <c r="H96" s="113"/>
      <c r="K96" s="1"/>
      <c r="N96" s="1"/>
      <c r="Q96" s="1"/>
      <c r="R96" s="113"/>
      <c r="S96" s="113"/>
      <c r="T96" s="113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13"/>
      <c r="H97" s="113"/>
      <c r="K97" s="1"/>
      <c r="N97" s="1"/>
      <c r="Q97" s="1"/>
      <c r="R97" s="113"/>
      <c r="S97" s="113"/>
      <c r="T97" s="113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13"/>
      <c r="H98" s="113"/>
      <c r="K98" s="1"/>
      <c r="N98" s="1"/>
      <c r="Q98" s="1"/>
      <c r="R98" s="113"/>
      <c r="S98" s="113"/>
      <c r="T98" s="113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13"/>
      <c r="H99" s="113"/>
      <c r="K99" s="1"/>
      <c r="N99" s="1"/>
      <c r="Q99" s="1"/>
      <c r="R99" s="113"/>
      <c r="S99" s="113"/>
      <c r="T99" s="113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13"/>
      <c r="H100" s="113"/>
      <c r="K100" s="1"/>
      <c r="N100" s="1"/>
      <c r="Q100" s="1"/>
      <c r="R100" s="113"/>
      <c r="S100" s="113"/>
      <c r="T100" s="113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13"/>
      <c r="H101" s="113"/>
      <c r="K101" s="1"/>
      <c r="N101" s="1"/>
      <c r="Q101" s="1"/>
      <c r="R101" s="113"/>
      <c r="S101" s="113"/>
      <c r="T101" s="113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13"/>
      <c r="H102" s="113"/>
      <c r="K102" s="1"/>
      <c r="N102" s="1"/>
      <c r="Q102" s="1"/>
      <c r="R102" s="113"/>
      <c r="S102" s="113"/>
      <c r="T102" s="113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13"/>
      <c r="H103" s="113"/>
      <c r="K103" s="1"/>
      <c r="N103" s="1"/>
      <c r="Q103" s="1"/>
      <c r="R103" s="113"/>
      <c r="S103" s="113"/>
      <c r="T103" s="113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13"/>
      <c r="H104" s="113"/>
      <c r="K104" s="1"/>
      <c r="N104" s="1"/>
      <c r="Q104" s="1"/>
      <c r="R104" s="113"/>
      <c r="S104" s="113"/>
      <c r="T104" s="113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13"/>
      <c r="H105" s="113"/>
      <c r="K105" s="1"/>
      <c r="N105" s="1"/>
      <c r="Q105" s="1"/>
      <c r="R105" s="113"/>
      <c r="S105" s="113"/>
      <c r="T105" s="113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13"/>
      <c r="H106" s="113"/>
      <c r="K106" s="1"/>
      <c r="N106" s="1"/>
      <c r="Q106" s="1"/>
      <c r="R106" s="113"/>
      <c r="S106" s="113"/>
      <c r="T106" s="113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13"/>
      <c r="H107" s="113"/>
      <c r="K107" s="1"/>
      <c r="N107" s="1"/>
      <c r="Q107" s="1"/>
      <c r="R107" s="113"/>
      <c r="S107" s="113"/>
      <c r="T107" s="113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13"/>
      <c r="H108" s="113"/>
      <c r="K108" s="1"/>
      <c r="N108" s="1"/>
      <c r="Q108" s="1"/>
      <c r="R108" s="113"/>
      <c r="S108" s="113"/>
      <c r="T108" s="113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13"/>
      <c r="H109" s="113"/>
      <c r="K109" s="1"/>
      <c r="N109" s="1"/>
      <c r="Q109" s="1"/>
      <c r="R109" s="113"/>
      <c r="S109" s="113"/>
      <c r="T109" s="113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13"/>
      <c r="H110" s="113"/>
      <c r="K110" s="1"/>
      <c r="N110" s="1"/>
      <c r="Q110" s="1"/>
      <c r="R110" s="113"/>
      <c r="S110" s="113"/>
      <c r="T110" s="113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13"/>
      <c r="H111" s="113"/>
      <c r="K111" s="1"/>
      <c r="N111" s="1"/>
      <c r="Q111" s="1"/>
      <c r="R111" s="113"/>
      <c r="S111" s="113"/>
      <c r="T111" s="113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13"/>
      <c r="H112" s="113"/>
      <c r="K112" s="1"/>
      <c r="N112" s="1"/>
      <c r="Q112" s="1"/>
      <c r="R112" s="113"/>
      <c r="S112" s="113"/>
      <c r="T112" s="113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13"/>
      <c r="H113" s="113"/>
      <c r="K113" s="1"/>
      <c r="N113" s="1"/>
      <c r="Q113" s="1"/>
      <c r="R113" s="113"/>
      <c r="S113" s="113"/>
      <c r="T113" s="113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13"/>
      <c r="H114" s="113"/>
      <c r="K114" s="1"/>
      <c r="N114" s="1"/>
      <c r="Q114" s="1"/>
      <c r="R114" s="113"/>
      <c r="S114" s="113"/>
      <c r="T114" s="113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13"/>
      <c r="H115" s="113"/>
      <c r="K115" s="1"/>
      <c r="N115" s="1"/>
      <c r="Q115" s="1"/>
      <c r="R115" s="113"/>
      <c r="S115" s="113"/>
      <c r="T115" s="113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13"/>
      <c r="H116" s="113"/>
      <c r="K116" s="1"/>
      <c r="N116" s="1"/>
      <c r="Q116" s="1"/>
      <c r="R116" s="113"/>
      <c r="S116" s="113"/>
      <c r="T116" s="113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13"/>
      <c r="H117" s="113"/>
      <c r="K117" s="1"/>
      <c r="N117" s="1"/>
      <c r="Q117" s="1"/>
      <c r="R117" s="113"/>
      <c r="S117" s="113"/>
      <c r="T117" s="113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13"/>
      <c r="H118" s="113"/>
      <c r="K118" s="1"/>
      <c r="N118" s="1"/>
      <c r="Q118" s="1"/>
      <c r="R118" s="113"/>
      <c r="S118" s="113"/>
      <c r="T118" s="113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13"/>
      <c r="H119" s="113"/>
      <c r="K119" s="1"/>
      <c r="N119" s="1"/>
      <c r="Q119" s="1"/>
      <c r="R119" s="113"/>
      <c r="S119" s="113"/>
      <c r="T119" s="113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13"/>
      <c r="H120" s="113"/>
      <c r="K120" s="1"/>
      <c r="N120" s="1"/>
      <c r="Q120" s="1"/>
      <c r="R120" s="113"/>
      <c r="S120" s="113"/>
      <c r="T120" s="113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13"/>
      <c r="H121" s="113"/>
      <c r="K121" s="1"/>
      <c r="N121" s="1"/>
      <c r="Q121" s="1"/>
      <c r="R121" s="113"/>
      <c r="S121" s="113"/>
      <c r="T121" s="113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13"/>
      <c r="H122" s="113"/>
      <c r="K122" s="1"/>
      <c r="N122" s="1"/>
      <c r="Q122" s="1"/>
      <c r="R122" s="113"/>
      <c r="S122" s="113"/>
      <c r="T122" s="113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13"/>
      <c r="H123" s="113"/>
      <c r="K123" s="1"/>
      <c r="N123" s="1"/>
      <c r="Q123" s="1"/>
      <c r="R123" s="113"/>
      <c r="S123" s="113"/>
      <c r="T123" s="113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13"/>
      <c r="H124" s="113"/>
      <c r="K124" s="1"/>
      <c r="N124" s="1"/>
      <c r="Q124" s="1"/>
      <c r="R124" s="113"/>
      <c r="S124" s="113"/>
      <c r="T124" s="113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13"/>
      <c r="H125" s="113"/>
      <c r="K125" s="1"/>
      <c r="N125" s="1"/>
      <c r="Q125" s="1"/>
      <c r="R125" s="113"/>
      <c r="S125" s="113"/>
      <c r="T125" s="113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13"/>
      <c r="H126" s="113"/>
      <c r="K126" s="1"/>
      <c r="N126" s="1"/>
      <c r="Q126" s="1"/>
      <c r="R126" s="113"/>
      <c r="S126" s="113"/>
      <c r="T126" s="113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13"/>
      <c r="H127" s="113"/>
      <c r="K127" s="1"/>
      <c r="N127" s="1"/>
      <c r="Q127" s="1"/>
      <c r="R127" s="113"/>
      <c r="S127" s="113"/>
      <c r="T127" s="113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13"/>
      <c r="H128" s="113"/>
      <c r="K128" s="1"/>
      <c r="N128" s="1"/>
      <c r="Q128" s="1"/>
      <c r="R128" s="113"/>
      <c r="S128" s="113"/>
      <c r="T128" s="113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13"/>
      <c r="H129" s="113"/>
      <c r="K129" s="1"/>
      <c r="N129" s="1"/>
      <c r="Q129" s="1"/>
      <c r="R129" s="113"/>
      <c r="S129" s="113"/>
      <c r="T129" s="113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13"/>
      <c r="H130" s="113"/>
      <c r="K130" s="1"/>
      <c r="N130" s="1"/>
      <c r="Q130" s="1"/>
      <c r="R130" s="113"/>
      <c r="S130" s="113"/>
      <c r="T130" s="113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13"/>
      <c r="H131" s="113"/>
      <c r="K131" s="1"/>
      <c r="N131" s="1"/>
      <c r="Q131" s="1"/>
      <c r="R131" s="113"/>
      <c r="S131" s="113"/>
      <c r="T131" s="113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13"/>
      <c r="H132" s="113"/>
      <c r="K132" s="1"/>
      <c r="N132" s="1"/>
      <c r="Q132" s="1"/>
      <c r="R132" s="113"/>
      <c r="S132" s="113"/>
      <c r="T132" s="113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13"/>
      <c r="H133" s="113"/>
      <c r="K133" s="1"/>
      <c r="N133" s="1"/>
      <c r="Q133" s="1"/>
      <c r="R133" s="113"/>
      <c r="S133" s="113"/>
      <c r="T133" s="113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13"/>
      <c r="H134" s="113"/>
      <c r="K134" s="1"/>
      <c r="N134" s="1"/>
      <c r="Q134" s="1"/>
      <c r="R134" s="113"/>
      <c r="S134" s="113"/>
      <c r="T134" s="113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13"/>
      <c r="H135" s="113"/>
      <c r="K135" s="1"/>
      <c r="N135" s="1"/>
      <c r="Q135" s="1"/>
      <c r="R135" s="113"/>
      <c r="S135" s="113"/>
      <c r="T135" s="113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13"/>
      <c r="H136" s="113"/>
      <c r="K136" s="1"/>
      <c r="N136" s="1"/>
      <c r="Q136" s="1"/>
      <c r="R136" s="113"/>
      <c r="S136" s="113"/>
      <c r="T136" s="113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13"/>
      <c r="H137" s="113"/>
      <c r="K137" s="1"/>
      <c r="N137" s="1"/>
      <c r="Q137" s="1"/>
      <c r="R137" s="113"/>
      <c r="S137" s="113"/>
      <c r="T137" s="113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13"/>
      <c r="H138" s="113"/>
      <c r="K138" s="1"/>
      <c r="N138" s="1"/>
      <c r="Q138" s="1"/>
      <c r="R138" s="113"/>
      <c r="S138" s="113"/>
      <c r="T138" s="113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13"/>
      <c r="H139" s="113"/>
      <c r="K139" s="1"/>
      <c r="N139" s="1"/>
      <c r="Q139" s="1"/>
      <c r="R139" s="113"/>
      <c r="S139" s="113"/>
      <c r="T139" s="113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13"/>
      <c r="H140" s="113"/>
      <c r="K140" s="1"/>
      <c r="N140" s="1"/>
      <c r="Q140" s="1"/>
      <c r="R140" s="113"/>
      <c r="S140" s="113"/>
      <c r="T140" s="113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13"/>
      <c r="H141" s="113"/>
      <c r="K141" s="1"/>
      <c r="N141" s="1"/>
      <c r="Q141" s="1"/>
      <c r="R141" s="113"/>
      <c r="S141" s="113"/>
      <c r="T141" s="113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13"/>
      <c r="H142" s="113"/>
      <c r="K142" s="1"/>
      <c r="N142" s="1"/>
      <c r="Q142" s="1"/>
      <c r="R142" s="113"/>
      <c r="S142" s="113"/>
      <c r="T142" s="113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13"/>
      <c r="H143" s="113"/>
      <c r="K143" s="1"/>
      <c r="N143" s="1"/>
      <c r="Q143" s="1"/>
      <c r="R143" s="113"/>
      <c r="S143" s="113"/>
      <c r="T143" s="113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13"/>
      <c r="H144" s="113"/>
      <c r="K144" s="1"/>
      <c r="N144" s="1"/>
      <c r="Q144" s="1"/>
      <c r="R144" s="113"/>
      <c r="S144" s="113"/>
      <c r="T144" s="113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13"/>
      <c r="H145" s="113"/>
      <c r="K145" s="1"/>
      <c r="N145" s="1"/>
      <c r="Q145" s="1"/>
      <c r="R145" s="113"/>
      <c r="S145" s="113"/>
      <c r="T145" s="113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13"/>
      <c r="H146" s="113"/>
      <c r="K146" s="1"/>
      <c r="N146" s="1"/>
      <c r="Q146" s="1"/>
      <c r="R146" s="113"/>
      <c r="S146" s="113"/>
      <c r="T146" s="113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13"/>
      <c r="H147" s="113"/>
      <c r="K147" s="1"/>
      <c r="N147" s="1"/>
      <c r="Q147" s="1"/>
      <c r="R147" s="113"/>
      <c r="S147" s="113"/>
      <c r="T147" s="113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13"/>
      <c r="H148" s="113"/>
      <c r="K148" s="1"/>
      <c r="N148" s="1"/>
      <c r="Q148" s="1"/>
      <c r="R148" s="113"/>
      <c r="S148" s="113"/>
      <c r="T148" s="113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13"/>
      <c r="H149" s="113"/>
      <c r="K149" s="1"/>
      <c r="N149" s="1"/>
      <c r="Q149" s="1"/>
      <c r="R149" s="113"/>
      <c r="S149" s="113"/>
      <c r="T149" s="113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13"/>
      <c r="H150" s="113"/>
      <c r="K150" s="1"/>
      <c r="N150" s="1"/>
      <c r="Q150" s="1"/>
      <c r="R150" s="113"/>
      <c r="S150" s="113"/>
      <c r="T150" s="113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13"/>
      <c r="H151" s="113"/>
      <c r="K151" s="1"/>
      <c r="N151" s="1"/>
      <c r="Q151" s="1"/>
      <c r="R151" s="113"/>
      <c r="S151" s="113"/>
      <c r="T151" s="113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13"/>
      <c r="H152" s="113"/>
      <c r="K152" s="1"/>
      <c r="N152" s="1"/>
      <c r="Q152" s="1"/>
      <c r="R152" s="113"/>
      <c r="S152" s="113"/>
      <c r="T152" s="113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13"/>
      <c r="H153" s="113"/>
      <c r="K153" s="1"/>
      <c r="N153" s="1"/>
      <c r="Q153" s="1"/>
      <c r="R153" s="113"/>
      <c r="S153" s="113"/>
      <c r="T153" s="113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13"/>
      <c r="H154" s="113"/>
      <c r="K154" s="1"/>
      <c r="N154" s="1"/>
      <c r="Q154" s="1"/>
      <c r="R154" s="113"/>
      <c r="S154" s="113"/>
      <c r="T154" s="113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13"/>
      <c r="H155" s="113"/>
      <c r="K155" s="1"/>
      <c r="N155" s="1"/>
      <c r="Q155" s="1"/>
      <c r="R155" s="113"/>
      <c r="S155" s="113"/>
      <c r="T155" s="113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13"/>
      <c r="H156" s="113"/>
      <c r="K156" s="1"/>
      <c r="N156" s="1"/>
      <c r="Q156" s="1"/>
      <c r="R156" s="113"/>
      <c r="S156" s="113"/>
      <c r="T156" s="113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13"/>
      <c r="H157" s="113"/>
      <c r="K157" s="1"/>
      <c r="N157" s="1"/>
      <c r="Q157" s="1"/>
      <c r="R157" s="113"/>
      <c r="S157" s="113"/>
      <c r="T157" s="113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13"/>
      <c r="H158" s="113"/>
      <c r="K158" s="1"/>
      <c r="N158" s="1"/>
      <c r="Q158" s="1"/>
      <c r="R158" s="113"/>
      <c r="S158" s="113"/>
      <c r="T158" s="113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13"/>
      <c r="H159" s="113"/>
      <c r="K159" s="1"/>
      <c r="N159" s="1"/>
      <c r="Q159" s="1"/>
      <c r="R159" s="113"/>
      <c r="S159" s="113"/>
      <c r="T159" s="113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13"/>
      <c r="H160" s="113"/>
      <c r="K160" s="1"/>
      <c r="N160" s="1"/>
      <c r="Q160" s="1"/>
      <c r="R160" s="113"/>
      <c r="S160" s="113"/>
      <c r="T160" s="113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13"/>
      <c r="H161" s="113"/>
      <c r="K161" s="1"/>
      <c r="N161" s="1"/>
      <c r="Q161" s="1"/>
      <c r="R161" s="113"/>
      <c r="S161" s="113"/>
      <c r="T161" s="113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13"/>
      <c r="H162" s="113"/>
      <c r="K162" s="1"/>
      <c r="N162" s="1"/>
      <c r="Q162" s="1"/>
      <c r="R162" s="113"/>
      <c r="S162" s="113"/>
      <c r="T162" s="113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13"/>
      <c r="H163" s="113"/>
      <c r="K163" s="1"/>
      <c r="N163" s="1"/>
      <c r="Q163" s="1"/>
      <c r="R163" s="113"/>
      <c r="S163" s="113"/>
      <c r="T163" s="113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13"/>
      <c r="H164" s="113"/>
      <c r="K164" s="1"/>
      <c r="N164" s="1"/>
      <c r="Q164" s="1"/>
      <c r="R164" s="113"/>
      <c r="S164" s="113"/>
      <c r="T164" s="113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13"/>
      <c r="H165" s="113"/>
      <c r="K165" s="1"/>
      <c r="N165" s="1"/>
      <c r="Q165" s="1"/>
      <c r="R165" s="113"/>
      <c r="S165" s="113"/>
      <c r="T165" s="113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13"/>
      <c r="H166" s="113"/>
      <c r="K166" s="1"/>
      <c r="N166" s="1"/>
      <c r="Q166" s="1"/>
      <c r="R166" s="113"/>
      <c r="S166" s="113"/>
      <c r="T166" s="113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13"/>
      <c r="H167" s="113"/>
      <c r="K167" s="1"/>
      <c r="N167" s="1"/>
      <c r="Q167" s="1"/>
      <c r="R167" s="113"/>
      <c r="S167" s="113"/>
      <c r="T167" s="113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13"/>
      <c r="H168" s="113"/>
      <c r="K168" s="1"/>
      <c r="N168" s="1"/>
      <c r="Q168" s="1"/>
      <c r="R168" s="113"/>
      <c r="S168" s="113"/>
      <c r="T168" s="113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13"/>
      <c r="H169" s="113"/>
      <c r="K169" s="1"/>
      <c r="N169" s="1"/>
      <c r="Q169" s="1"/>
      <c r="R169" s="113"/>
      <c r="S169" s="113"/>
      <c r="T169" s="113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13"/>
      <c r="H170" s="113"/>
      <c r="K170" s="1"/>
      <c r="N170" s="1"/>
      <c r="Q170" s="1"/>
      <c r="R170" s="113"/>
      <c r="S170" s="113"/>
      <c r="T170" s="113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13"/>
      <c r="H171" s="113"/>
      <c r="K171" s="1"/>
      <c r="N171" s="1"/>
      <c r="Q171" s="1"/>
      <c r="R171" s="113"/>
      <c r="S171" s="113"/>
      <c r="T171" s="113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13"/>
      <c r="H172" s="113"/>
      <c r="K172" s="1"/>
      <c r="N172" s="1"/>
      <c r="Q172" s="1"/>
      <c r="R172" s="113"/>
      <c r="S172" s="113"/>
      <c r="T172" s="113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13"/>
      <c r="H173" s="113"/>
      <c r="K173" s="1"/>
      <c r="N173" s="1"/>
      <c r="Q173" s="1"/>
      <c r="R173" s="113"/>
      <c r="S173" s="113"/>
      <c r="T173" s="113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13"/>
      <c r="H174" s="113"/>
      <c r="K174" s="1"/>
      <c r="N174" s="1"/>
      <c r="Q174" s="1"/>
      <c r="R174" s="113"/>
      <c r="S174" s="113"/>
      <c r="T174" s="113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13"/>
      <c r="H175" s="113"/>
      <c r="K175" s="1"/>
      <c r="N175" s="1"/>
      <c r="Q175" s="1"/>
      <c r="R175" s="113"/>
      <c r="S175" s="113"/>
      <c r="T175" s="113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13"/>
      <c r="H176" s="113"/>
      <c r="K176" s="1"/>
      <c r="N176" s="1"/>
      <c r="Q176" s="1"/>
      <c r="R176" s="113"/>
      <c r="S176" s="113"/>
      <c r="T176" s="113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13"/>
      <c r="H177" s="113"/>
      <c r="K177" s="1"/>
      <c r="N177" s="1"/>
      <c r="Q177" s="1"/>
      <c r="R177" s="113"/>
      <c r="S177" s="113"/>
      <c r="T177" s="113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13"/>
      <c r="H178" s="113"/>
      <c r="K178" s="1"/>
      <c r="N178" s="1"/>
      <c r="Q178" s="1"/>
      <c r="R178" s="113"/>
      <c r="S178" s="113"/>
      <c r="T178" s="113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13"/>
      <c r="H179" s="113"/>
      <c r="K179" s="1"/>
      <c r="N179" s="1"/>
      <c r="Q179" s="1"/>
      <c r="R179" s="113"/>
      <c r="S179" s="113"/>
      <c r="T179" s="113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13"/>
      <c r="H180" s="113"/>
      <c r="K180" s="1"/>
      <c r="N180" s="1"/>
      <c r="Q180" s="1"/>
      <c r="R180" s="113"/>
      <c r="S180" s="113"/>
      <c r="T180" s="113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13"/>
      <c r="H181" s="113"/>
      <c r="K181" s="1"/>
      <c r="N181" s="1"/>
      <c r="Q181" s="1"/>
      <c r="R181" s="113"/>
      <c r="S181" s="113"/>
      <c r="T181" s="113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13"/>
      <c r="H182" s="113"/>
      <c r="K182" s="1"/>
      <c r="N182" s="1"/>
      <c r="Q182" s="1"/>
      <c r="R182" s="113"/>
      <c r="S182" s="113"/>
      <c r="T182" s="113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13"/>
      <c r="H183" s="113"/>
      <c r="K183" s="1"/>
      <c r="N183" s="1"/>
      <c r="Q183" s="1"/>
      <c r="R183" s="113"/>
      <c r="S183" s="113"/>
      <c r="T183" s="113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13"/>
      <c r="H184" s="113"/>
      <c r="K184" s="1"/>
      <c r="N184" s="1"/>
      <c r="Q184" s="1"/>
      <c r="R184" s="113"/>
      <c r="S184" s="113"/>
      <c r="T184" s="113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13"/>
      <c r="H185" s="113"/>
      <c r="K185" s="1"/>
      <c r="N185" s="1"/>
      <c r="Q185" s="1"/>
      <c r="R185" s="113"/>
      <c r="S185" s="113"/>
      <c r="T185" s="113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13"/>
      <c r="H186" s="113"/>
      <c r="K186" s="1"/>
      <c r="N186" s="1"/>
      <c r="Q186" s="1"/>
      <c r="R186" s="113"/>
      <c r="S186" s="113"/>
      <c r="T186" s="113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13"/>
      <c r="H187" s="113"/>
      <c r="K187" s="1"/>
      <c r="N187" s="1"/>
      <c r="Q187" s="1"/>
      <c r="R187" s="113"/>
      <c r="S187" s="113"/>
      <c r="T187" s="113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13"/>
      <c r="H188" s="113"/>
      <c r="K188" s="1"/>
      <c r="N188" s="1"/>
      <c r="Q188" s="1"/>
      <c r="R188" s="113"/>
      <c r="S188" s="113"/>
      <c r="T188" s="113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13"/>
      <c r="H189" s="113"/>
      <c r="K189" s="1"/>
      <c r="N189" s="1"/>
      <c r="Q189" s="1"/>
      <c r="R189" s="113"/>
      <c r="S189" s="113"/>
      <c r="T189" s="113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13"/>
      <c r="H190" s="113"/>
      <c r="K190" s="1"/>
      <c r="N190" s="1"/>
      <c r="Q190" s="1"/>
      <c r="R190" s="113"/>
      <c r="S190" s="113"/>
      <c r="T190" s="113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13"/>
      <c r="H191" s="113"/>
      <c r="K191" s="1"/>
      <c r="N191" s="1"/>
      <c r="Q191" s="1"/>
      <c r="R191" s="113"/>
      <c r="S191" s="113"/>
      <c r="T191" s="113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13"/>
      <c r="H192" s="113"/>
      <c r="K192" s="1"/>
      <c r="N192" s="1"/>
      <c r="Q192" s="1"/>
      <c r="R192" s="113"/>
      <c r="S192" s="113"/>
      <c r="T192" s="113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13"/>
      <c r="H193" s="113"/>
      <c r="K193" s="1"/>
      <c r="N193" s="1"/>
      <c r="Q193" s="1"/>
      <c r="R193" s="113"/>
      <c r="S193" s="113"/>
      <c r="T193" s="113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13"/>
      <c r="H194" s="113"/>
      <c r="K194" s="1"/>
      <c r="N194" s="1"/>
      <c r="Q194" s="1"/>
      <c r="R194" s="113"/>
      <c r="S194" s="113"/>
      <c r="T194" s="113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13"/>
      <c r="H195" s="113"/>
      <c r="K195" s="1"/>
      <c r="N195" s="1"/>
      <c r="Q195" s="1"/>
      <c r="R195" s="113"/>
      <c r="S195" s="113"/>
      <c r="T195" s="113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13"/>
      <c r="H196" s="113"/>
      <c r="K196" s="1"/>
      <c r="N196" s="1"/>
      <c r="Q196" s="1"/>
      <c r="R196" s="113"/>
      <c r="S196" s="113"/>
      <c r="T196" s="113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13"/>
      <c r="H197" s="113"/>
      <c r="K197" s="1"/>
      <c r="N197" s="1"/>
      <c r="Q197" s="1"/>
      <c r="R197" s="113"/>
      <c r="S197" s="113"/>
      <c r="T197" s="113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13"/>
      <c r="H198" s="113"/>
      <c r="K198" s="1"/>
      <c r="N198" s="1"/>
      <c r="Q198" s="1"/>
      <c r="R198" s="113"/>
      <c r="S198" s="113"/>
      <c r="T198" s="113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13"/>
      <c r="H199" s="113"/>
      <c r="K199" s="1"/>
      <c r="N199" s="1"/>
      <c r="Q199" s="1"/>
      <c r="R199" s="113"/>
      <c r="S199" s="113"/>
      <c r="T199" s="113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13"/>
      <c r="H200" s="113"/>
      <c r="K200" s="1"/>
      <c r="N200" s="1"/>
      <c r="Q200" s="1"/>
      <c r="R200" s="113"/>
      <c r="S200" s="113"/>
      <c r="T200" s="113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13"/>
      <c r="H201" s="113"/>
      <c r="K201" s="1"/>
      <c r="N201" s="1"/>
      <c r="Q201" s="1"/>
      <c r="R201" s="113"/>
      <c r="S201" s="113"/>
      <c r="T201" s="113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13"/>
      <c r="H202" s="113"/>
      <c r="K202" s="1"/>
      <c r="N202" s="1"/>
      <c r="Q202" s="1"/>
      <c r="R202" s="113"/>
      <c r="S202" s="113"/>
      <c r="T202" s="113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13"/>
      <c r="H203" s="113"/>
      <c r="K203" s="1"/>
      <c r="N203" s="1"/>
      <c r="Q203" s="1"/>
      <c r="R203" s="113"/>
      <c r="S203" s="113"/>
      <c r="T203" s="113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13"/>
      <c r="H204" s="113"/>
      <c r="K204" s="1"/>
      <c r="N204" s="1"/>
      <c r="Q204" s="1"/>
      <c r="R204" s="113"/>
      <c r="S204" s="113"/>
      <c r="T204" s="113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13"/>
      <c r="H205" s="113"/>
      <c r="K205" s="1"/>
      <c r="N205" s="1"/>
      <c r="Q205" s="1"/>
      <c r="R205" s="113"/>
      <c r="S205" s="113"/>
      <c r="T205" s="113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13"/>
      <c r="H206" s="113"/>
      <c r="K206" s="1"/>
      <c r="N206" s="1"/>
      <c r="Q206" s="1"/>
      <c r="R206" s="113"/>
      <c r="S206" s="113"/>
      <c r="T206" s="113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13"/>
      <c r="H207" s="113"/>
      <c r="K207" s="1"/>
      <c r="N207" s="1"/>
      <c r="Q207" s="1"/>
      <c r="R207" s="113"/>
      <c r="S207" s="113"/>
      <c r="T207" s="113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13"/>
      <c r="H208" s="113"/>
      <c r="K208" s="1"/>
      <c r="N208" s="1"/>
      <c r="Q208" s="1"/>
      <c r="R208" s="113"/>
      <c r="S208" s="113"/>
      <c r="T208" s="113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13"/>
      <c r="H209" s="113"/>
      <c r="K209" s="1"/>
      <c r="N209" s="1"/>
      <c r="Q209" s="1"/>
      <c r="R209" s="113"/>
      <c r="S209" s="113"/>
      <c r="T209" s="113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13"/>
      <c r="H210" s="113"/>
      <c r="K210" s="1"/>
      <c r="N210" s="1"/>
      <c r="Q210" s="1"/>
      <c r="R210" s="113"/>
      <c r="S210" s="113"/>
      <c r="T210" s="113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13"/>
      <c r="H211" s="113"/>
      <c r="K211" s="1"/>
      <c r="N211" s="1"/>
      <c r="Q211" s="1"/>
      <c r="R211" s="113"/>
      <c r="S211" s="113"/>
      <c r="T211" s="113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13"/>
      <c r="H212" s="113"/>
      <c r="K212" s="1"/>
      <c r="N212" s="1"/>
      <c r="Q212" s="1"/>
      <c r="R212" s="113"/>
      <c r="S212" s="113"/>
      <c r="T212" s="113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13"/>
      <c r="H213" s="113"/>
      <c r="K213" s="1"/>
      <c r="N213" s="1"/>
      <c r="Q213" s="1"/>
      <c r="R213" s="113"/>
      <c r="S213" s="113"/>
      <c r="T213" s="113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13"/>
      <c r="H214" s="113"/>
      <c r="K214" s="1"/>
      <c r="N214" s="1"/>
      <c r="Q214" s="1"/>
      <c r="R214" s="113"/>
      <c r="S214" s="113"/>
      <c r="T214" s="113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13"/>
      <c r="H215" s="113"/>
      <c r="K215" s="1"/>
      <c r="N215" s="1"/>
      <c r="Q215" s="1"/>
      <c r="R215" s="113"/>
      <c r="S215" s="113"/>
      <c r="T215" s="113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13"/>
      <c r="H216" s="113"/>
      <c r="K216" s="1"/>
      <c r="N216" s="1"/>
      <c r="Q216" s="1"/>
      <c r="R216" s="113"/>
      <c r="S216" s="113"/>
      <c r="T216" s="113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13"/>
      <c r="H217" s="113"/>
      <c r="K217" s="1"/>
      <c r="N217" s="1"/>
      <c r="Q217" s="1"/>
      <c r="R217" s="113"/>
      <c r="S217" s="113"/>
      <c r="T217" s="113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13"/>
      <c r="H218" s="113"/>
      <c r="K218" s="1"/>
      <c r="N218" s="1"/>
      <c r="Q218" s="1"/>
      <c r="R218" s="113"/>
      <c r="S218" s="113"/>
      <c r="T218" s="113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13"/>
      <c r="H219" s="113"/>
      <c r="K219" s="1"/>
      <c r="N219" s="1"/>
      <c r="Q219" s="1"/>
      <c r="R219" s="113"/>
      <c r="S219" s="113"/>
      <c r="T219" s="113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13"/>
      <c r="H220" s="113"/>
      <c r="K220" s="1"/>
      <c r="N220" s="1"/>
      <c r="Q220" s="1"/>
      <c r="R220" s="113"/>
      <c r="S220" s="113"/>
      <c r="T220" s="113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13"/>
      <c r="H221" s="113"/>
      <c r="K221" s="1"/>
      <c r="N221" s="1"/>
      <c r="Q221" s="1"/>
      <c r="R221" s="113"/>
      <c r="S221" s="113"/>
      <c r="T221" s="113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13"/>
      <c r="H222" s="113"/>
      <c r="K222" s="1"/>
      <c r="N222" s="1"/>
      <c r="Q222" s="1"/>
      <c r="R222" s="113"/>
      <c r="S222" s="113"/>
      <c r="T222" s="113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13"/>
      <c r="H223" s="113"/>
      <c r="K223" s="1"/>
      <c r="N223" s="1"/>
      <c r="Q223" s="1"/>
      <c r="R223" s="113"/>
      <c r="S223" s="113"/>
      <c r="T223" s="113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13"/>
      <c r="H224" s="113"/>
      <c r="K224" s="1"/>
      <c r="N224" s="1"/>
      <c r="Q224" s="1"/>
      <c r="R224" s="113"/>
      <c r="S224" s="113"/>
      <c r="T224" s="113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13"/>
      <c r="H225" s="113"/>
      <c r="K225" s="1"/>
      <c r="N225" s="1"/>
      <c r="Q225" s="1"/>
      <c r="R225" s="113"/>
      <c r="S225" s="113"/>
      <c r="T225" s="113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13"/>
      <c r="H226" s="113"/>
      <c r="K226" s="1"/>
      <c r="N226" s="1"/>
      <c r="Q226" s="1"/>
      <c r="R226" s="113"/>
      <c r="S226" s="113"/>
      <c r="T226" s="113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13"/>
      <c r="H227" s="113"/>
      <c r="K227" s="1"/>
      <c r="N227" s="1"/>
      <c r="Q227" s="1"/>
      <c r="R227" s="113"/>
      <c r="S227" s="113"/>
      <c r="T227" s="113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13"/>
      <c r="H228" s="113"/>
      <c r="K228" s="1"/>
      <c r="N228" s="1"/>
      <c r="Q228" s="1"/>
      <c r="R228" s="113"/>
      <c r="S228" s="113"/>
      <c r="T228" s="113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13"/>
      <c r="H229" s="113"/>
      <c r="K229" s="1"/>
      <c r="N229" s="1"/>
      <c r="Q229" s="1"/>
      <c r="R229" s="113"/>
      <c r="S229" s="113"/>
      <c r="T229" s="113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13"/>
      <c r="H230" s="113"/>
      <c r="K230" s="1"/>
      <c r="N230" s="1"/>
      <c r="Q230" s="1"/>
      <c r="R230" s="113"/>
      <c r="S230" s="113"/>
      <c r="T230" s="113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13"/>
      <c r="H231" s="113"/>
      <c r="K231" s="1"/>
      <c r="N231" s="1"/>
      <c r="Q231" s="1"/>
      <c r="R231" s="113"/>
      <c r="S231" s="113"/>
      <c r="T231" s="113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13"/>
      <c r="H232" s="113"/>
      <c r="K232" s="1"/>
      <c r="N232" s="1"/>
      <c r="Q232" s="1"/>
      <c r="R232" s="113"/>
      <c r="S232" s="113"/>
      <c r="T232" s="113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13"/>
      <c r="H233" s="113"/>
      <c r="K233" s="1"/>
      <c r="N233" s="1"/>
      <c r="Q233" s="1"/>
      <c r="R233" s="113"/>
      <c r="S233" s="113"/>
      <c r="T233" s="113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13"/>
      <c r="H234" s="113"/>
      <c r="K234" s="1"/>
      <c r="N234" s="1"/>
      <c r="Q234" s="1"/>
      <c r="R234" s="113"/>
      <c r="S234" s="113"/>
      <c r="T234" s="113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13"/>
      <c r="H235" s="113"/>
      <c r="K235" s="1"/>
      <c r="N235" s="1"/>
      <c r="Q235" s="1"/>
      <c r="R235" s="113"/>
      <c r="S235" s="113"/>
      <c r="T235" s="113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13"/>
      <c r="H236" s="113"/>
      <c r="K236" s="1"/>
      <c r="N236" s="1"/>
      <c r="Q236" s="1"/>
      <c r="R236" s="113"/>
      <c r="S236" s="113"/>
      <c r="T236" s="113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13"/>
      <c r="H237" s="113"/>
      <c r="K237" s="1"/>
      <c r="N237" s="1"/>
      <c r="Q237" s="1"/>
      <c r="R237" s="113"/>
      <c r="S237" s="113"/>
      <c r="T237" s="113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13"/>
      <c r="H238" s="113"/>
      <c r="K238" s="1"/>
      <c r="N238" s="1"/>
      <c r="Q238" s="1"/>
      <c r="R238" s="113"/>
      <c r="S238" s="113"/>
      <c r="T238" s="113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13"/>
      <c r="H239" s="113"/>
      <c r="K239" s="1"/>
      <c r="N239" s="1"/>
      <c r="Q239" s="1"/>
      <c r="R239" s="113"/>
      <c r="S239" s="113"/>
      <c r="T239" s="113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13"/>
      <c r="H240" s="113"/>
      <c r="K240" s="1"/>
      <c r="N240" s="1"/>
      <c r="Q240" s="1"/>
      <c r="R240" s="113"/>
      <c r="S240" s="113"/>
      <c r="T240" s="113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13"/>
      <c r="H241" s="113"/>
      <c r="K241" s="1"/>
      <c r="N241" s="1"/>
      <c r="Q241" s="1"/>
      <c r="R241" s="113"/>
      <c r="S241" s="113"/>
      <c r="T241" s="113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13"/>
      <c r="H242" s="113"/>
      <c r="K242" s="1"/>
      <c r="N242" s="1"/>
      <c r="Q242" s="1"/>
      <c r="R242" s="113"/>
      <c r="S242" s="113"/>
      <c r="T242" s="113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13"/>
      <c r="H243" s="113"/>
      <c r="K243" s="1"/>
      <c r="N243" s="1"/>
      <c r="Q243" s="1"/>
      <c r="R243" s="113"/>
      <c r="S243" s="113"/>
      <c r="T243" s="113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13"/>
      <c r="H244" s="113"/>
      <c r="K244" s="1"/>
      <c r="N244" s="1"/>
      <c r="Q244" s="1"/>
      <c r="R244" s="113"/>
      <c r="S244" s="113"/>
      <c r="T244" s="113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13"/>
      <c r="H245" s="113"/>
      <c r="K245" s="1"/>
      <c r="N245" s="1"/>
      <c r="Q245" s="1"/>
      <c r="R245" s="113"/>
      <c r="S245" s="113"/>
      <c r="T245" s="113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13"/>
      <c r="H246" s="113"/>
      <c r="K246" s="1"/>
      <c r="N246" s="1"/>
      <c r="Q246" s="1"/>
      <c r="R246" s="113"/>
      <c r="S246" s="113"/>
      <c r="T246" s="113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13"/>
      <c r="H247" s="113"/>
      <c r="K247" s="1"/>
      <c r="N247" s="1"/>
      <c r="Q247" s="1"/>
      <c r="R247" s="113"/>
      <c r="S247" s="113"/>
      <c r="T247" s="113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13"/>
      <c r="H248" s="113"/>
      <c r="K248" s="1"/>
      <c r="N248" s="1"/>
      <c r="Q248" s="1"/>
      <c r="R248" s="113"/>
      <c r="S248" s="113"/>
      <c r="T248" s="113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13"/>
      <c r="H249" s="113"/>
      <c r="K249" s="1"/>
      <c r="N249" s="1"/>
      <c r="Q249" s="1"/>
      <c r="R249" s="113"/>
      <c r="S249" s="113"/>
      <c r="T249" s="113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13"/>
      <c r="H250" s="113"/>
      <c r="K250" s="1"/>
      <c r="N250" s="1"/>
      <c r="Q250" s="1"/>
      <c r="R250" s="113"/>
      <c r="S250" s="113"/>
      <c r="T250" s="113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13"/>
      <c r="H251" s="113"/>
      <c r="K251" s="1"/>
      <c r="N251" s="1"/>
      <c r="Q251" s="1"/>
      <c r="R251" s="113"/>
      <c r="S251" s="113"/>
      <c r="T251" s="113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13"/>
      <c r="H252" s="113"/>
      <c r="K252" s="1"/>
      <c r="N252" s="1"/>
      <c r="Q252" s="1"/>
      <c r="R252" s="113"/>
      <c r="S252" s="113"/>
      <c r="T252" s="113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13"/>
      <c r="H253" s="113"/>
      <c r="K253" s="1"/>
      <c r="N253" s="1"/>
      <c r="Q253" s="1"/>
      <c r="R253" s="113"/>
      <c r="S253" s="113"/>
      <c r="T253" s="113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13"/>
      <c r="H254" s="113"/>
      <c r="K254" s="1"/>
      <c r="N254" s="1"/>
      <c r="Q254" s="1"/>
      <c r="R254" s="113"/>
      <c r="S254" s="113"/>
      <c r="T254" s="113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13"/>
      <c r="H255" s="113"/>
      <c r="K255" s="1"/>
      <c r="N255" s="1"/>
      <c r="Q255" s="1"/>
      <c r="R255" s="113"/>
      <c r="S255" s="113"/>
      <c r="T255" s="113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13"/>
      <c r="H256" s="113"/>
      <c r="K256" s="1"/>
      <c r="N256" s="1"/>
      <c r="Q256" s="1"/>
      <c r="R256" s="113"/>
      <c r="S256" s="113"/>
      <c r="T256" s="113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13"/>
      <c r="H257" s="113"/>
      <c r="K257" s="1"/>
      <c r="N257" s="1"/>
      <c r="Q257" s="1"/>
      <c r="R257" s="113"/>
      <c r="S257" s="113"/>
      <c r="T257" s="113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13"/>
      <c r="H258" s="113"/>
      <c r="K258" s="1"/>
      <c r="N258" s="1"/>
      <c r="Q258" s="1"/>
      <c r="R258" s="113"/>
      <c r="S258" s="113"/>
      <c r="T258" s="113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13"/>
      <c r="H259" s="113"/>
      <c r="K259" s="1"/>
      <c r="N259" s="1"/>
      <c r="Q259" s="1"/>
      <c r="R259" s="113"/>
      <c r="S259" s="113"/>
      <c r="T259" s="113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13"/>
      <c r="H260" s="113"/>
      <c r="K260" s="1"/>
      <c r="N260" s="1"/>
      <c r="Q260" s="1"/>
      <c r="R260" s="113"/>
      <c r="S260" s="113"/>
      <c r="T260" s="113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13"/>
      <c r="H261" s="113"/>
      <c r="K261" s="1"/>
      <c r="N261" s="1"/>
      <c r="Q261" s="1"/>
      <c r="R261" s="113"/>
      <c r="S261" s="113"/>
      <c r="T261" s="113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13"/>
      <c r="H262" s="113"/>
      <c r="K262" s="1"/>
      <c r="N262" s="1"/>
      <c r="Q262" s="1"/>
      <c r="R262" s="113"/>
      <c r="S262" s="113"/>
      <c r="T262" s="113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13"/>
      <c r="H263" s="113"/>
      <c r="K263" s="1"/>
      <c r="N263" s="1"/>
      <c r="Q263" s="1"/>
      <c r="R263" s="113"/>
      <c r="S263" s="113"/>
      <c r="T263" s="113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13"/>
      <c r="H264" s="113"/>
      <c r="K264" s="1"/>
      <c r="N264" s="1"/>
      <c r="Q264" s="1"/>
      <c r="R264" s="113"/>
      <c r="S264" s="113"/>
      <c r="T264" s="113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13"/>
      <c r="H265" s="113"/>
      <c r="K265" s="1"/>
      <c r="N265" s="1"/>
      <c r="Q265" s="1"/>
      <c r="R265" s="113"/>
      <c r="S265" s="113"/>
      <c r="T265" s="113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13"/>
      <c r="H266" s="113"/>
      <c r="K266" s="1"/>
      <c r="N266" s="1"/>
      <c r="Q266" s="1"/>
      <c r="R266" s="113"/>
      <c r="S266" s="113"/>
      <c r="T266" s="113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13"/>
      <c r="H267" s="113"/>
      <c r="K267" s="1"/>
      <c r="N267" s="1"/>
      <c r="Q267" s="1"/>
      <c r="R267" s="113"/>
      <c r="S267" s="113"/>
      <c r="T267" s="113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13"/>
      <c r="H268" s="113"/>
      <c r="K268" s="1"/>
      <c r="N268" s="1"/>
      <c r="Q268" s="1"/>
      <c r="R268" s="113"/>
      <c r="S268" s="113"/>
      <c r="T268" s="113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13"/>
      <c r="H269" s="113"/>
      <c r="K269" s="1"/>
      <c r="N269" s="1"/>
      <c r="Q269" s="1"/>
      <c r="R269" s="113"/>
      <c r="S269" s="113"/>
      <c r="T269" s="113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13"/>
      <c r="H270" s="113"/>
      <c r="K270" s="1"/>
      <c r="N270" s="1"/>
      <c r="Q270" s="1"/>
      <c r="R270" s="113"/>
      <c r="S270" s="113"/>
      <c r="T270" s="113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13"/>
      <c r="H271" s="113"/>
      <c r="K271" s="1"/>
      <c r="N271" s="1"/>
      <c r="Q271" s="1"/>
      <c r="R271" s="113"/>
      <c r="S271" s="113"/>
      <c r="T271" s="113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13"/>
      <c r="H272" s="113"/>
      <c r="K272" s="1"/>
      <c r="N272" s="1"/>
      <c r="Q272" s="1"/>
      <c r="R272" s="113"/>
      <c r="S272" s="113"/>
      <c r="T272" s="113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13"/>
      <c r="H273" s="113"/>
      <c r="K273" s="1"/>
      <c r="N273" s="1"/>
      <c r="Q273" s="1"/>
      <c r="R273" s="113"/>
      <c r="S273" s="113"/>
      <c r="T273" s="113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13"/>
      <c r="H274" s="113"/>
      <c r="K274" s="1"/>
      <c r="N274" s="1"/>
      <c r="Q274" s="1"/>
      <c r="R274" s="113"/>
      <c r="S274" s="113"/>
      <c r="T274" s="113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13"/>
      <c r="H275" s="113"/>
      <c r="K275" s="1"/>
      <c r="N275" s="1"/>
      <c r="Q275" s="1"/>
      <c r="R275" s="113"/>
      <c r="S275" s="113"/>
      <c r="T275" s="113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13"/>
      <c r="H276" s="113"/>
      <c r="K276" s="1"/>
      <c r="N276" s="1"/>
      <c r="Q276" s="1"/>
      <c r="R276" s="113"/>
      <c r="S276" s="113"/>
      <c r="T276" s="113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13"/>
      <c r="H277" s="113"/>
      <c r="K277" s="1"/>
      <c r="N277" s="1"/>
      <c r="Q277" s="1"/>
      <c r="R277" s="113"/>
      <c r="S277" s="113"/>
      <c r="T277" s="113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13"/>
      <c r="H278" s="113"/>
      <c r="K278" s="1"/>
      <c r="N278" s="1"/>
      <c r="Q278" s="1"/>
      <c r="R278" s="113"/>
      <c r="S278" s="113"/>
      <c r="T278" s="113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13"/>
      <c r="H279" s="113"/>
      <c r="K279" s="1"/>
      <c r="N279" s="1"/>
      <c r="Q279" s="1"/>
      <c r="R279" s="113"/>
      <c r="S279" s="113"/>
      <c r="T279" s="113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13"/>
      <c r="H280" s="113"/>
      <c r="K280" s="1"/>
      <c r="N280" s="1"/>
      <c r="Q280" s="1"/>
      <c r="R280" s="113"/>
      <c r="S280" s="113"/>
      <c r="T280" s="113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13"/>
      <c r="H281" s="113"/>
      <c r="K281" s="1"/>
      <c r="N281" s="1"/>
      <c r="Q281" s="1"/>
      <c r="R281" s="113"/>
      <c r="S281" s="113"/>
      <c r="T281" s="113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13"/>
      <c r="H282" s="113"/>
      <c r="K282" s="1"/>
      <c r="N282" s="1"/>
      <c r="Q282" s="1"/>
      <c r="R282" s="113"/>
      <c r="S282" s="113"/>
      <c r="T282" s="113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13"/>
      <c r="H283" s="113"/>
      <c r="K283" s="1"/>
      <c r="N283" s="1"/>
      <c r="Q283" s="1"/>
      <c r="R283" s="113"/>
      <c r="S283" s="113"/>
      <c r="T283" s="113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13"/>
      <c r="H284" s="113"/>
      <c r="K284" s="1"/>
      <c r="N284" s="1"/>
      <c r="Q284" s="1"/>
      <c r="R284" s="113"/>
      <c r="S284" s="113"/>
      <c r="T284" s="113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13"/>
      <c r="H285" s="113"/>
      <c r="K285" s="1"/>
      <c r="N285" s="1"/>
      <c r="Q285" s="1"/>
      <c r="R285" s="113"/>
      <c r="S285" s="113"/>
      <c r="T285" s="113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13"/>
      <c r="H286" s="113"/>
      <c r="K286" s="1"/>
      <c r="N286" s="1"/>
      <c r="Q286" s="1"/>
      <c r="R286" s="113"/>
      <c r="S286" s="113"/>
      <c r="T286" s="113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13"/>
      <c r="H287" s="113"/>
      <c r="K287" s="1"/>
      <c r="N287" s="1"/>
      <c r="Q287" s="1"/>
      <c r="R287" s="113"/>
      <c r="S287" s="113"/>
      <c r="T287" s="113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13"/>
      <c r="H288" s="113"/>
      <c r="K288" s="1"/>
      <c r="N288" s="1"/>
      <c r="Q288" s="1"/>
      <c r="R288" s="113"/>
      <c r="S288" s="113"/>
      <c r="T288" s="113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13"/>
      <c r="H289" s="113"/>
      <c r="K289" s="1"/>
      <c r="N289" s="1"/>
      <c r="Q289" s="1"/>
      <c r="R289" s="113"/>
      <c r="S289" s="113"/>
      <c r="T289" s="113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13"/>
      <c r="H290" s="113"/>
      <c r="K290" s="1"/>
      <c r="N290" s="1"/>
      <c r="Q290" s="1"/>
      <c r="R290" s="113"/>
      <c r="S290" s="113"/>
      <c r="T290" s="113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13"/>
      <c r="H291" s="113"/>
      <c r="K291" s="1"/>
      <c r="N291" s="1"/>
      <c r="Q291" s="1"/>
      <c r="R291" s="113"/>
      <c r="S291" s="113"/>
      <c r="T291" s="113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13"/>
      <c r="H292" s="113"/>
      <c r="K292" s="1"/>
      <c r="N292" s="1"/>
      <c r="Q292" s="1"/>
      <c r="R292" s="113"/>
      <c r="S292" s="113"/>
      <c r="T292" s="113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13"/>
      <c r="H293" s="113"/>
      <c r="K293" s="1"/>
      <c r="N293" s="1"/>
      <c r="Q293" s="1"/>
      <c r="R293" s="113"/>
      <c r="S293" s="113"/>
      <c r="T293" s="113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13"/>
      <c r="H294" s="113"/>
      <c r="K294" s="1"/>
      <c r="N294" s="1"/>
      <c r="Q294" s="1"/>
      <c r="R294" s="113"/>
      <c r="S294" s="113"/>
      <c r="T294" s="113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13"/>
      <c r="H295" s="113"/>
      <c r="K295" s="1"/>
      <c r="N295" s="1"/>
      <c r="Q295" s="1"/>
      <c r="R295" s="113"/>
      <c r="S295" s="113"/>
      <c r="T295" s="113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13"/>
      <c r="H296" s="113"/>
      <c r="K296" s="1"/>
      <c r="N296" s="1"/>
      <c r="Q296" s="1"/>
      <c r="R296" s="113"/>
      <c r="S296" s="113"/>
      <c r="T296" s="113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13"/>
      <c r="H297" s="113"/>
      <c r="K297" s="1"/>
      <c r="N297" s="1"/>
      <c r="Q297" s="1"/>
      <c r="R297" s="113"/>
      <c r="S297" s="113"/>
      <c r="T297" s="113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13"/>
      <c r="H298" s="113"/>
      <c r="K298" s="1"/>
      <c r="N298" s="1"/>
      <c r="Q298" s="1"/>
      <c r="R298" s="113"/>
      <c r="S298" s="113"/>
      <c r="T298" s="113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13"/>
      <c r="H299" s="113"/>
      <c r="K299" s="1"/>
      <c r="N299" s="1"/>
      <c r="Q299" s="1"/>
      <c r="R299" s="113"/>
      <c r="S299" s="113"/>
      <c r="T299" s="113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13"/>
      <c r="H300" s="113"/>
      <c r="K300" s="1"/>
      <c r="N300" s="1"/>
      <c r="Q300" s="1"/>
      <c r="R300" s="113"/>
      <c r="S300" s="113"/>
      <c r="T300" s="113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13"/>
      <c r="H301" s="113"/>
      <c r="K301" s="1"/>
      <c r="N301" s="1"/>
      <c r="Q301" s="1"/>
      <c r="R301" s="113"/>
      <c r="S301" s="113"/>
      <c r="T301" s="113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13"/>
      <c r="H302" s="113"/>
      <c r="K302" s="1"/>
      <c r="N302" s="1"/>
      <c r="Q302" s="1"/>
      <c r="R302" s="113"/>
      <c r="S302" s="113"/>
      <c r="T302" s="113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13"/>
      <c r="H303" s="113"/>
      <c r="K303" s="1"/>
      <c r="N303" s="1"/>
      <c r="Q303" s="1"/>
      <c r="R303" s="113"/>
      <c r="S303" s="113"/>
      <c r="T303" s="113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13"/>
      <c r="H304" s="113"/>
      <c r="K304" s="1"/>
      <c r="N304" s="1"/>
      <c r="Q304" s="1"/>
      <c r="R304" s="113"/>
      <c r="S304" s="113"/>
      <c r="T304" s="113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13"/>
      <c r="H305" s="113"/>
      <c r="K305" s="1"/>
      <c r="N305" s="1"/>
      <c r="Q305" s="1"/>
      <c r="R305" s="113"/>
      <c r="S305" s="113"/>
      <c r="T305" s="113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13"/>
      <c r="H306" s="113"/>
      <c r="K306" s="1"/>
      <c r="N306" s="1"/>
      <c r="Q306" s="1"/>
      <c r="R306" s="113"/>
      <c r="S306" s="113"/>
      <c r="T306" s="113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13"/>
      <c r="H307" s="113"/>
      <c r="K307" s="1"/>
      <c r="N307" s="1"/>
      <c r="Q307" s="1"/>
      <c r="R307" s="113"/>
      <c r="S307" s="113"/>
      <c r="T307" s="113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13"/>
      <c r="H308" s="113"/>
      <c r="K308" s="1"/>
      <c r="N308" s="1"/>
      <c r="Q308" s="1"/>
      <c r="R308" s="113"/>
      <c r="S308" s="113"/>
      <c r="T308" s="113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13"/>
      <c r="H309" s="113"/>
      <c r="K309" s="1"/>
      <c r="N309" s="1"/>
      <c r="Q309" s="1"/>
      <c r="R309" s="113"/>
      <c r="S309" s="113"/>
      <c r="T309" s="113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13"/>
      <c r="H310" s="113"/>
      <c r="K310" s="1"/>
      <c r="N310" s="1"/>
      <c r="Q310" s="1"/>
      <c r="R310" s="113"/>
      <c r="S310" s="113"/>
      <c r="T310" s="113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13"/>
      <c r="H311" s="113"/>
      <c r="K311" s="1"/>
      <c r="N311" s="1"/>
      <c r="Q311" s="1"/>
      <c r="R311" s="113"/>
      <c r="S311" s="113"/>
      <c r="T311" s="113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13"/>
      <c r="H312" s="113"/>
      <c r="K312" s="1"/>
      <c r="N312" s="1"/>
      <c r="Q312" s="1"/>
      <c r="R312" s="113"/>
      <c r="S312" s="113"/>
      <c r="T312" s="113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13"/>
      <c r="H313" s="113"/>
      <c r="K313" s="1"/>
      <c r="N313" s="1"/>
      <c r="Q313" s="1"/>
      <c r="R313" s="113"/>
      <c r="S313" s="113"/>
      <c r="T313" s="113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13"/>
      <c r="H314" s="113"/>
      <c r="K314" s="1"/>
      <c r="N314" s="1"/>
      <c r="Q314" s="1"/>
      <c r="R314" s="113"/>
      <c r="S314" s="113"/>
      <c r="T314" s="113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13"/>
      <c r="H315" s="113"/>
      <c r="K315" s="1"/>
      <c r="N315" s="1"/>
      <c r="Q315" s="1"/>
      <c r="R315" s="113"/>
      <c r="S315" s="113"/>
      <c r="T315" s="113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13"/>
      <c r="H316" s="113"/>
      <c r="K316" s="1"/>
      <c r="N316" s="1"/>
      <c r="Q316" s="1"/>
      <c r="R316" s="113"/>
      <c r="S316" s="113"/>
      <c r="T316" s="113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13"/>
      <c r="H317" s="113"/>
      <c r="K317" s="1"/>
      <c r="N317" s="1"/>
      <c r="Q317" s="1"/>
      <c r="R317" s="113"/>
      <c r="S317" s="113"/>
      <c r="T317" s="113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13"/>
      <c r="H318" s="113"/>
      <c r="K318" s="1"/>
      <c r="N318" s="1"/>
      <c r="Q318" s="1"/>
      <c r="R318" s="113"/>
      <c r="S318" s="113"/>
      <c r="T318" s="113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13"/>
      <c r="H319" s="113"/>
      <c r="K319" s="1"/>
      <c r="N319" s="1"/>
      <c r="Q319" s="1"/>
      <c r="R319" s="113"/>
      <c r="S319" s="113"/>
      <c r="T319" s="113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13"/>
      <c r="H320" s="113"/>
      <c r="K320" s="1"/>
      <c r="N320" s="1"/>
      <c r="Q320" s="1"/>
      <c r="R320" s="113"/>
      <c r="S320" s="113"/>
      <c r="T320" s="113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13"/>
      <c r="H321" s="113"/>
      <c r="K321" s="1"/>
      <c r="N321" s="1"/>
      <c r="Q321" s="1"/>
      <c r="R321" s="113"/>
      <c r="S321" s="113"/>
      <c r="T321" s="113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13"/>
      <c r="H322" s="113"/>
      <c r="K322" s="1"/>
      <c r="N322" s="1"/>
      <c r="Q322" s="1"/>
      <c r="R322" s="113"/>
      <c r="S322" s="113"/>
      <c r="T322" s="113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13"/>
      <c r="H323" s="113"/>
      <c r="K323" s="1"/>
      <c r="N323" s="1"/>
      <c r="Q323" s="1"/>
      <c r="R323" s="113"/>
      <c r="S323" s="113"/>
      <c r="T323" s="113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13"/>
      <c r="H324" s="113"/>
      <c r="K324" s="1"/>
      <c r="N324" s="1"/>
      <c r="Q324" s="1"/>
      <c r="R324" s="113"/>
      <c r="S324" s="113"/>
      <c r="T324" s="113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13"/>
      <c r="H325" s="113"/>
      <c r="K325" s="1"/>
      <c r="N325" s="1"/>
      <c r="Q325" s="1"/>
      <c r="R325" s="113"/>
      <c r="S325" s="113"/>
      <c r="T325" s="113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13"/>
      <c r="H326" s="113"/>
      <c r="K326" s="1"/>
      <c r="N326" s="1"/>
      <c r="Q326" s="1"/>
      <c r="R326" s="113"/>
      <c r="S326" s="113"/>
      <c r="T326" s="113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13"/>
      <c r="H327" s="113"/>
      <c r="K327" s="1"/>
      <c r="N327" s="1"/>
      <c r="Q327" s="1"/>
      <c r="R327" s="113"/>
      <c r="S327" s="113"/>
      <c r="T327" s="113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13"/>
      <c r="H328" s="113"/>
      <c r="K328" s="1"/>
      <c r="N328" s="1"/>
      <c r="Q328" s="1"/>
      <c r="R328" s="113"/>
      <c r="S328" s="113"/>
      <c r="T328" s="113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13"/>
      <c r="H329" s="113"/>
      <c r="K329" s="1"/>
      <c r="N329" s="1"/>
      <c r="Q329" s="1"/>
      <c r="R329" s="113"/>
      <c r="S329" s="113"/>
      <c r="T329" s="113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13"/>
      <c r="H330" s="113"/>
      <c r="K330" s="1"/>
      <c r="N330" s="1"/>
      <c r="Q330" s="1"/>
      <c r="R330" s="113"/>
      <c r="S330" s="113"/>
      <c r="T330" s="113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13"/>
      <c r="H331" s="113"/>
      <c r="K331" s="1"/>
      <c r="N331" s="1"/>
      <c r="Q331" s="1"/>
      <c r="R331" s="113"/>
      <c r="S331" s="113"/>
      <c r="T331" s="113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13"/>
      <c r="H332" s="113"/>
      <c r="K332" s="1"/>
      <c r="N332" s="1"/>
      <c r="Q332" s="1"/>
      <c r="R332" s="113"/>
      <c r="S332" s="113"/>
      <c r="T332" s="113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13"/>
      <c r="H333" s="113"/>
      <c r="K333" s="1"/>
      <c r="N333" s="1"/>
      <c r="Q333" s="1"/>
      <c r="R333" s="113"/>
      <c r="S333" s="113"/>
      <c r="T333" s="113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13"/>
      <c r="H334" s="113"/>
      <c r="K334" s="1"/>
      <c r="N334" s="1"/>
      <c r="Q334" s="1"/>
      <c r="R334" s="113"/>
      <c r="S334" s="113"/>
      <c r="T334" s="113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13"/>
      <c r="H335" s="113"/>
      <c r="K335" s="1"/>
      <c r="N335" s="1"/>
      <c r="Q335" s="1"/>
      <c r="R335" s="113"/>
      <c r="S335" s="113"/>
      <c r="T335" s="113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13"/>
      <c r="H336" s="113"/>
      <c r="K336" s="1"/>
      <c r="N336" s="1"/>
      <c r="Q336" s="1"/>
      <c r="R336" s="113"/>
      <c r="S336" s="113"/>
      <c r="T336" s="113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13"/>
      <c r="H337" s="113"/>
      <c r="K337" s="1"/>
      <c r="N337" s="1"/>
      <c r="Q337" s="1"/>
      <c r="R337" s="113"/>
      <c r="S337" s="113"/>
      <c r="T337" s="113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13"/>
      <c r="H338" s="113"/>
      <c r="K338" s="1"/>
      <c r="N338" s="1"/>
      <c r="Q338" s="1"/>
      <c r="R338" s="113"/>
      <c r="S338" s="113"/>
      <c r="T338" s="113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13"/>
      <c r="H339" s="113"/>
      <c r="K339" s="1"/>
      <c r="N339" s="1"/>
      <c r="Q339" s="1"/>
      <c r="R339" s="113"/>
      <c r="S339" s="113"/>
      <c r="T339" s="113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13"/>
      <c r="H340" s="113"/>
      <c r="K340" s="1"/>
      <c r="N340" s="1"/>
      <c r="Q340" s="1"/>
      <c r="R340" s="113"/>
      <c r="S340" s="113"/>
      <c r="T340" s="113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13"/>
      <c r="H341" s="113"/>
      <c r="K341" s="1"/>
      <c r="N341" s="1"/>
      <c r="Q341" s="1"/>
      <c r="R341" s="113"/>
      <c r="S341" s="113"/>
      <c r="T341" s="113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13"/>
      <c r="H342" s="113"/>
      <c r="K342" s="1"/>
      <c r="N342" s="1"/>
      <c r="Q342" s="1"/>
      <c r="R342" s="113"/>
      <c r="S342" s="113"/>
      <c r="T342" s="113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13"/>
      <c r="H343" s="113"/>
      <c r="K343" s="1"/>
      <c r="N343" s="1"/>
      <c r="Q343" s="1"/>
      <c r="R343" s="113"/>
      <c r="S343" s="113"/>
      <c r="T343" s="113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13"/>
      <c r="H344" s="113"/>
      <c r="K344" s="1"/>
      <c r="N344" s="1"/>
      <c r="Q344" s="1"/>
      <c r="R344" s="113"/>
      <c r="S344" s="113"/>
      <c r="T344" s="113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13"/>
      <c r="H345" s="113"/>
      <c r="K345" s="1"/>
      <c r="N345" s="1"/>
      <c r="Q345" s="1"/>
      <c r="R345" s="113"/>
      <c r="S345" s="113"/>
      <c r="T345" s="113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13"/>
      <c r="H346" s="113"/>
      <c r="K346" s="1"/>
      <c r="N346" s="1"/>
      <c r="Q346" s="1"/>
      <c r="R346" s="113"/>
      <c r="S346" s="113"/>
      <c r="T346" s="113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13"/>
      <c r="H347" s="113"/>
      <c r="K347" s="1"/>
      <c r="N347" s="1"/>
      <c r="Q347" s="1"/>
      <c r="R347" s="113"/>
      <c r="S347" s="113"/>
      <c r="T347" s="113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13"/>
      <c r="H348" s="113"/>
      <c r="K348" s="1"/>
      <c r="N348" s="1"/>
      <c r="Q348" s="1"/>
      <c r="R348" s="113"/>
      <c r="S348" s="113"/>
      <c r="T348" s="113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13"/>
      <c r="H349" s="113"/>
      <c r="K349" s="1"/>
      <c r="N349" s="1"/>
      <c r="Q349" s="1"/>
      <c r="R349" s="113"/>
      <c r="S349" s="113"/>
      <c r="T349" s="113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13"/>
      <c r="H350" s="113"/>
      <c r="K350" s="1"/>
      <c r="N350" s="1"/>
      <c r="Q350" s="1"/>
      <c r="R350" s="113"/>
      <c r="S350" s="113"/>
      <c r="T350" s="113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13"/>
      <c r="H351" s="113"/>
      <c r="K351" s="1"/>
      <c r="N351" s="1"/>
      <c r="Q351" s="1"/>
      <c r="R351" s="113"/>
      <c r="S351" s="113"/>
      <c r="T351" s="113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13"/>
      <c r="H352" s="113"/>
      <c r="K352" s="1"/>
      <c r="N352" s="1"/>
      <c r="Q352" s="1"/>
      <c r="R352" s="113"/>
      <c r="S352" s="113"/>
      <c r="T352" s="113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13"/>
      <c r="H353" s="113"/>
      <c r="K353" s="1"/>
      <c r="N353" s="1"/>
      <c r="Q353" s="1"/>
      <c r="R353" s="113"/>
      <c r="S353" s="113"/>
      <c r="T353" s="113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13"/>
      <c r="H354" s="113"/>
      <c r="K354" s="1"/>
      <c r="N354" s="1"/>
      <c r="Q354" s="1"/>
      <c r="R354" s="113"/>
      <c r="S354" s="113"/>
      <c r="T354" s="113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13"/>
      <c r="H355" s="113"/>
      <c r="K355" s="1"/>
      <c r="N355" s="1"/>
      <c r="Q355" s="1"/>
      <c r="R355" s="113"/>
      <c r="S355" s="113"/>
      <c r="T355" s="113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13"/>
      <c r="H356" s="113"/>
      <c r="K356" s="1"/>
      <c r="N356" s="1"/>
      <c r="Q356" s="1"/>
      <c r="R356" s="113"/>
      <c r="S356" s="113"/>
      <c r="T356" s="113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13"/>
      <c r="H357" s="113"/>
      <c r="K357" s="1"/>
      <c r="N357" s="1"/>
      <c r="Q357" s="1"/>
      <c r="R357" s="113"/>
      <c r="S357" s="113"/>
      <c r="T357" s="113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13"/>
      <c r="H358" s="113"/>
      <c r="K358" s="1"/>
      <c r="N358" s="1"/>
      <c r="Q358" s="1"/>
      <c r="R358" s="113"/>
      <c r="S358" s="113"/>
      <c r="T358" s="113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13"/>
      <c r="H359" s="113"/>
      <c r="K359" s="1"/>
      <c r="N359" s="1"/>
      <c r="Q359" s="1"/>
      <c r="R359" s="113"/>
      <c r="S359" s="113"/>
      <c r="T359" s="113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13"/>
      <c r="H360" s="113"/>
      <c r="K360" s="1"/>
      <c r="N360" s="1"/>
      <c r="Q360" s="1"/>
      <c r="R360" s="113"/>
      <c r="S360" s="113"/>
      <c r="T360" s="113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13"/>
      <c r="H361" s="113"/>
      <c r="K361" s="1"/>
      <c r="N361" s="1"/>
      <c r="Q361" s="1"/>
      <c r="R361" s="113"/>
      <c r="S361" s="113"/>
      <c r="T361" s="113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13"/>
      <c r="H362" s="113"/>
      <c r="K362" s="1"/>
      <c r="N362" s="1"/>
      <c r="Q362" s="1"/>
      <c r="R362" s="113"/>
      <c r="S362" s="113"/>
      <c r="T362" s="113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13"/>
      <c r="H363" s="113"/>
      <c r="K363" s="1"/>
      <c r="N363" s="1"/>
      <c r="Q363" s="1"/>
      <c r="R363" s="113"/>
      <c r="S363" s="113"/>
      <c r="T363" s="113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13"/>
      <c r="H364" s="113"/>
      <c r="K364" s="1"/>
      <c r="N364" s="1"/>
      <c r="Q364" s="1"/>
      <c r="R364" s="113"/>
      <c r="S364" s="113"/>
      <c r="T364" s="113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13"/>
      <c r="H365" s="113"/>
      <c r="K365" s="1"/>
      <c r="N365" s="1"/>
      <c r="Q365" s="1"/>
      <c r="R365" s="113"/>
      <c r="S365" s="113"/>
      <c r="T365" s="113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13"/>
      <c r="H366" s="113"/>
      <c r="K366" s="1"/>
      <c r="N366" s="1"/>
      <c r="Q366" s="1"/>
      <c r="R366" s="113"/>
      <c r="S366" s="113"/>
      <c r="T366" s="113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13"/>
      <c r="H367" s="113"/>
      <c r="K367" s="1"/>
      <c r="N367" s="1"/>
      <c r="Q367" s="1"/>
      <c r="R367" s="113"/>
      <c r="S367" s="113"/>
      <c r="T367" s="113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13"/>
      <c r="H368" s="113"/>
      <c r="K368" s="1"/>
      <c r="N368" s="1"/>
      <c r="Q368" s="1"/>
      <c r="R368" s="113"/>
      <c r="S368" s="113"/>
      <c r="T368" s="113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13"/>
      <c r="H369" s="113"/>
      <c r="K369" s="1"/>
      <c r="N369" s="1"/>
      <c r="Q369" s="1"/>
      <c r="R369" s="113"/>
      <c r="S369" s="113"/>
      <c r="T369" s="113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13"/>
      <c r="H370" s="113"/>
      <c r="K370" s="1"/>
      <c r="N370" s="1"/>
      <c r="Q370" s="1"/>
      <c r="R370" s="113"/>
      <c r="S370" s="113"/>
      <c r="T370" s="113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13"/>
      <c r="H371" s="113"/>
      <c r="K371" s="1"/>
      <c r="N371" s="1"/>
      <c r="Q371" s="1"/>
      <c r="R371" s="113"/>
      <c r="S371" s="113"/>
      <c r="T371" s="113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13"/>
      <c r="H372" s="113"/>
      <c r="K372" s="1"/>
      <c r="N372" s="1"/>
      <c r="Q372" s="1"/>
      <c r="R372" s="113"/>
      <c r="S372" s="113"/>
      <c r="T372" s="113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13"/>
      <c r="H373" s="113"/>
      <c r="K373" s="1"/>
      <c r="N373" s="1"/>
      <c r="Q373" s="1"/>
      <c r="R373" s="113"/>
      <c r="S373" s="113"/>
      <c r="T373" s="113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13"/>
      <c r="H374" s="113"/>
      <c r="K374" s="1"/>
      <c r="N374" s="1"/>
      <c r="Q374" s="1"/>
      <c r="R374" s="113"/>
      <c r="S374" s="113"/>
      <c r="T374" s="113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13"/>
      <c r="H375" s="113"/>
      <c r="K375" s="1"/>
      <c r="N375" s="1"/>
      <c r="Q375" s="1"/>
      <c r="R375" s="113"/>
      <c r="S375" s="113"/>
      <c r="T375" s="113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13"/>
      <c r="H376" s="113"/>
      <c r="K376" s="1"/>
      <c r="N376" s="1"/>
      <c r="Q376" s="1"/>
      <c r="R376" s="113"/>
      <c r="S376" s="113"/>
      <c r="T376" s="113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13"/>
      <c r="H377" s="113"/>
      <c r="K377" s="1"/>
      <c r="N377" s="1"/>
      <c r="Q377" s="1"/>
      <c r="R377" s="113"/>
      <c r="S377" s="113"/>
      <c r="T377" s="113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13"/>
      <c r="H378" s="113"/>
      <c r="K378" s="1"/>
      <c r="N378" s="1"/>
      <c r="Q378" s="1"/>
      <c r="R378" s="113"/>
      <c r="S378" s="113"/>
      <c r="T378" s="113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13"/>
      <c r="H379" s="113"/>
      <c r="K379" s="1"/>
      <c r="N379" s="1"/>
      <c r="Q379" s="1"/>
      <c r="R379" s="113"/>
      <c r="S379" s="113"/>
      <c r="T379" s="113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13"/>
      <c r="H380" s="113"/>
      <c r="K380" s="1"/>
      <c r="N380" s="1"/>
      <c r="Q380" s="1"/>
      <c r="R380" s="113"/>
      <c r="S380" s="113"/>
      <c r="T380" s="113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13"/>
      <c r="H381" s="113"/>
      <c r="K381" s="1"/>
      <c r="N381" s="1"/>
      <c r="Q381" s="1"/>
      <c r="R381" s="113"/>
      <c r="S381" s="113"/>
      <c r="T381" s="113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13"/>
      <c r="H382" s="113"/>
      <c r="K382" s="1"/>
      <c r="N382" s="1"/>
      <c r="Q382" s="1"/>
      <c r="R382" s="113"/>
      <c r="S382" s="113"/>
      <c r="T382" s="113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13"/>
      <c r="H383" s="113"/>
      <c r="K383" s="1"/>
      <c r="N383" s="1"/>
      <c r="Q383" s="1"/>
      <c r="R383" s="113"/>
      <c r="S383" s="113"/>
      <c r="T383" s="113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13"/>
      <c r="H384" s="113"/>
      <c r="K384" s="1"/>
      <c r="N384" s="1"/>
      <c r="Q384" s="1"/>
      <c r="R384" s="113"/>
      <c r="S384" s="113"/>
      <c r="T384" s="113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13"/>
      <c r="H385" s="113"/>
      <c r="K385" s="1"/>
      <c r="N385" s="1"/>
      <c r="Q385" s="1"/>
      <c r="R385" s="113"/>
      <c r="S385" s="113"/>
      <c r="T385" s="113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13"/>
      <c r="H386" s="113"/>
      <c r="K386" s="1"/>
      <c r="N386" s="1"/>
      <c r="Q386" s="1"/>
      <c r="R386" s="113"/>
      <c r="S386" s="113"/>
      <c r="T386" s="113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13"/>
      <c r="H387" s="113"/>
      <c r="K387" s="1"/>
      <c r="N387" s="1"/>
      <c r="Q387" s="1"/>
      <c r="R387" s="113"/>
      <c r="S387" s="113"/>
      <c r="T387" s="113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13"/>
      <c r="H388" s="113"/>
      <c r="K388" s="1"/>
      <c r="N388" s="1"/>
      <c r="Q388" s="1"/>
      <c r="R388" s="113"/>
      <c r="S388" s="113"/>
      <c r="T388" s="113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13"/>
      <c r="H389" s="113"/>
      <c r="K389" s="1"/>
      <c r="N389" s="1"/>
      <c r="Q389" s="1"/>
      <c r="R389" s="113"/>
      <c r="S389" s="113"/>
      <c r="T389" s="113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13"/>
      <c r="H390" s="113"/>
      <c r="K390" s="1"/>
      <c r="N390" s="1"/>
      <c r="Q390" s="1"/>
      <c r="R390" s="113"/>
      <c r="S390" s="113"/>
      <c r="T390" s="113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13"/>
      <c r="H391" s="113"/>
      <c r="K391" s="1"/>
      <c r="N391" s="1"/>
      <c r="Q391" s="1"/>
      <c r="R391" s="113"/>
      <c r="S391" s="113"/>
      <c r="T391" s="113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13"/>
      <c r="H392" s="113"/>
      <c r="K392" s="1"/>
      <c r="N392" s="1"/>
      <c r="Q392" s="1"/>
      <c r="R392" s="113"/>
      <c r="S392" s="113"/>
      <c r="T392" s="113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13"/>
      <c r="H393" s="113"/>
      <c r="K393" s="1"/>
      <c r="N393" s="1"/>
      <c r="Q393" s="1"/>
      <c r="R393" s="113"/>
      <c r="S393" s="113"/>
      <c r="T393" s="113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13"/>
      <c r="H394" s="113"/>
      <c r="K394" s="1"/>
      <c r="N394" s="1"/>
      <c r="Q394" s="1"/>
      <c r="R394" s="113"/>
      <c r="S394" s="113"/>
      <c r="T394" s="113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13"/>
      <c r="H395" s="113"/>
      <c r="K395" s="1"/>
      <c r="N395" s="1"/>
      <c r="Q395" s="1"/>
      <c r="R395" s="113"/>
      <c r="S395" s="113"/>
      <c r="T395" s="113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13"/>
      <c r="H396" s="113"/>
      <c r="K396" s="1"/>
      <c r="N396" s="1"/>
      <c r="Q396" s="1"/>
      <c r="R396" s="113"/>
      <c r="S396" s="113"/>
      <c r="T396" s="113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13"/>
      <c r="H397" s="113"/>
      <c r="K397" s="1"/>
      <c r="N397" s="1"/>
      <c r="Q397" s="1"/>
      <c r="R397" s="113"/>
      <c r="S397" s="113"/>
      <c r="T397" s="113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13"/>
      <c r="H398" s="113"/>
      <c r="K398" s="1"/>
      <c r="N398" s="1"/>
      <c r="Q398" s="1"/>
      <c r="R398" s="113"/>
      <c r="S398" s="113"/>
      <c r="T398" s="113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13"/>
      <c r="H399" s="113"/>
      <c r="K399" s="1"/>
      <c r="N399" s="1"/>
      <c r="Q399" s="1"/>
      <c r="R399" s="113"/>
      <c r="S399" s="113"/>
      <c r="T399" s="113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13"/>
      <c r="H400" s="113"/>
      <c r="K400" s="1"/>
      <c r="N400" s="1"/>
      <c r="Q400" s="1"/>
      <c r="R400" s="113"/>
      <c r="S400" s="113"/>
      <c r="T400" s="113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13"/>
      <c r="H401" s="113"/>
      <c r="K401" s="1"/>
      <c r="N401" s="1"/>
      <c r="Q401" s="1"/>
      <c r="R401" s="113"/>
      <c r="S401" s="113"/>
      <c r="T401" s="113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13"/>
      <c r="H402" s="113"/>
      <c r="K402" s="1"/>
      <c r="N402" s="1"/>
      <c r="Q402" s="1"/>
      <c r="R402" s="113"/>
      <c r="S402" s="113"/>
      <c r="T402" s="113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13"/>
      <c r="H403" s="113"/>
      <c r="K403" s="1"/>
      <c r="N403" s="1"/>
      <c r="Q403" s="1"/>
      <c r="R403" s="113"/>
      <c r="S403" s="113"/>
      <c r="T403" s="113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13"/>
      <c r="H404" s="113"/>
      <c r="K404" s="1"/>
      <c r="N404" s="1"/>
      <c r="Q404" s="1"/>
      <c r="R404" s="113"/>
      <c r="S404" s="113"/>
      <c r="T404" s="113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13"/>
      <c r="H405" s="113"/>
      <c r="K405" s="1"/>
      <c r="N405" s="1"/>
      <c r="Q405" s="1"/>
      <c r="R405" s="113"/>
      <c r="S405" s="113"/>
      <c r="T405" s="113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13"/>
      <c r="H406" s="113"/>
      <c r="K406" s="1"/>
      <c r="N406" s="1"/>
      <c r="Q406" s="1"/>
      <c r="R406" s="113"/>
      <c r="S406" s="113"/>
      <c r="T406" s="113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13"/>
      <c r="H407" s="113"/>
      <c r="K407" s="1"/>
      <c r="N407" s="1"/>
      <c r="Q407" s="1"/>
      <c r="R407" s="113"/>
      <c r="S407" s="113"/>
      <c r="T407" s="113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13"/>
      <c r="H408" s="113"/>
      <c r="K408" s="1"/>
      <c r="N408" s="1"/>
      <c r="Q408" s="1"/>
      <c r="R408" s="113"/>
      <c r="S408" s="113"/>
      <c r="T408" s="113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13"/>
      <c r="H409" s="113"/>
      <c r="K409" s="1"/>
      <c r="N409" s="1"/>
      <c r="Q409" s="1"/>
      <c r="R409" s="113"/>
      <c r="S409" s="113"/>
      <c r="T409" s="113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13"/>
      <c r="H410" s="113"/>
      <c r="K410" s="1"/>
      <c r="N410" s="1"/>
      <c r="Q410" s="1"/>
      <c r="R410" s="113"/>
      <c r="S410" s="113"/>
      <c r="T410" s="113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13"/>
      <c r="H411" s="113"/>
      <c r="K411" s="1"/>
      <c r="N411" s="1"/>
      <c r="Q411" s="1"/>
      <c r="R411" s="113"/>
      <c r="S411" s="113"/>
      <c r="T411" s="113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13"/>
      <c r="H412" s="113"/>
      <c r="K412" s="1"/>
      <c r="N412" s="1"/>
      <c r="Q412" s="1"/>
      <c r="R412" s="113"/>
      <c r="S412" s="113"/>
      <c r="T412" s="113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13"/>
      <c r="H413" s="113"/>
      <c r="K413" s="1"/>
      <c r="N413" s="1"/>
      <c r="Q413" s="1"/>
      <c r="R413" s="113"/>
      <c r="S413" s="113"/>
      <c r="T413" s="113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13"/>
      <c r="H414" s="113"/>
      <c r="K414" s="1"/>
      <c r="N414" s="1"/>
      <c r="Q414" s="1"/>
      <c r="R414" s="113"/>
      <c r="S414" s="113"/>
      <c r="T414" s="113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13"/>
      <c r="H415" s="113"/>
      <c r="K415" s="1"/>
      <c r="N415" s="1"/>
      <c r="Q415" s="1"/>
      <c r="R415" s="113"/>
      <c r="S415" s="113"/>
      <c r="T415" s="113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13"/>
      <c r="H416" s="113"/>
      <c r="K416" s="1"/>
      <c r="N416" s="1"/>
      <c r="Q416" s="1"/>
      <c r="R416" s="113"/>
      <c r="S416" s="113"/>
      <c r="T416" s="113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13"/>
      <c r="H417" s="113"/>
      <c r="K417" s="1"/>
      <c r="N417" s="1"/>
      <c r="Q417" s="1"/>
      <c r="R417" s="113"/>
      <c r="S417" s="113"/>
      <c r="T417" s="113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13"/>
      <c r="H418" s="113"/>
      <c r="K418" s="1"/>
      <c r="N418" s="1"/>
      <c r="Q418" s="1"/>
      <c r="R418" s="113"/>
      <c r="S418" s="113"/>
      <c r="T418" s="113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13"/>
      <c r="H419" s="113"/>
      <c r="K419" s="1"/>
      <c r="N419" s="1"/>
      <c r="Q419" s="1"/>
      <c r="R419" s="113"/>
      <c r="S419" s="113"/>
      <c r="T419" s="113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13"/>
      <c r="H420" s="113"/>
      <c r="K420" s="1"/>
      <c r="N420" s="1"/>
      <c r="Q420" s="1"/>
      <c r="R420" s="113"/>
      <c r="S420" s="113"/>
      <c r="T420" s="113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13"/>
      <c r="H421" s="113"/>
      <c r="K421" s="1"/>
      <c r="N421" s="1"/>
      <c r="Q421" s="1"/>
      <c r="R421" s="113"/>
      <c r="S421" s="113"/>
      <c r="T421" s="113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13"/>
      <c r="H422" s="113"/>
      <c r="K422" s="1"/>
      <c r="N422" s="1"/>
      <c r="Q422" s="1"/>
      <c r="R422" s="113"/>
      <c r="S422" s="113"/>
      <c r="T422" s="113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13"/>
      <c r="H423" s="113"/>
      <c r="K423" s="1"/>
      <c r="N423" s="1"/>
      <c r="Q423" s="1"/>
      <c r="R423" s="113"/>
      <c r="S423" s="113"/>
      <c r="T423" s="113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13"/>
      <c r="H424" s="113"/>
      <c r="K424" s="1"/>
      <c r="N424" s="1"/>
      <c r="Q424" s="1"/>
      <c r="R424" s="113"/>
      <c r="S424" s="113"/>
      <c r="T424" s="113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13"/>
      <c r="H425" s="113"/>
      <c r="K425" s="1"/>
      <c r="N425" s="1"/>
      <c r="Q425" s="1"/>
      <c r="R425" s="113"/>
      <c r="S425" s="113"/>
      <c r="T425" s="113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13"/>
      <c r="H426" s="113"/>
      <c r="K426" s="1"/>
      <c r="N426" s="1"/>
      <c r="Q426" s="1"/>
      <c r="R426" s="113"/>
      <c r="S426" s="113"/>
      <c r="T426" s="113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13"/>
      <c r="H427" s="113"/>
      <c r="K427" s="1"/>
      <c r="N427" s="1"/>
      <c r="Q427" s="1"/>
      <c r="R427" s="113"/>
      <c r="S427" s="113"/>
      <c r="T427" s="113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13"/>
      <c r="H428" s="113"/>
      <c r="K428" s="1"/>
      <c r="N428" s="1"/>
      <c r="Q428" s="1"/>
      <c r="R428" s="113"/>
      <c r="S428" s="113"/>
      <c r="T428" s="113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13"/>
      <c r="H429" s="113"/>
      <c r="K429" s="1"/>
      <c r="N429" s="1"/>
      <c r="Q429" s="1"/>
      <c r="R429" s="113"/>
      <c r="S429" s="113"/>
      <c r="T429" s="113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13"/>
      <c r="H430" s="113"/>
      <c r="K430" s="1"/>
      <c r="N430" s="1"/>
      <c r="Q430" s="1"/>
      <c r="R430" s="113"/>
      <c r="S430" s="113"/>
      <c r="T430" s="113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13"/>
      <c r="H431" s="113"/>
      <c r="K431" s="1"/>
      <c r="N431" s="1"/>
      <c r="Q431" s="1"/>
      <c r="R431" s="113"/>
      <c r="S431" s="113"/>
      <c r="T431" s="113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13"/>
      <c r="H432" s="113"/>
      <c r="K432" s="1"/>
      <c r="N432" s="1"/>
      <c r="Q432" s="1"/>
      <c r="R432" s="113"/>
      <c r="S432" s="113"/>
      <c r="T432" s="113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13"/>
      <c r="H433" s="113"/>
      <c r="K433" s="1"/>
      <c r="N433" s="1"/>
      <c r="Q433" s="1"/>
      <c r="R433" s="113"/>
      <c r="S433" s="113"/>
      <c r="T433" s="113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13"/>
      <c r="H434" s="113"/>
      <c r="K434" s="1"/>
      <c r="N434" s="1"/>
      <c r="Q434" s="1"/>
      <c r="R434" s="113"/>
      <c r="S434" s="113"/>
      <c r="T434" s="113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13"/>
      <c r="H435" s="113"/>
      <c r="K435" s="1"/>
      <c r="N435" s="1"/>
      <c r="Q435" s="1"/>
      <c r="R435" s="113"/>
      <c r="S435" s="113"/>
      <c r="T435" s="113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13"/>
      <c r="H436" s="113"/>
      <c r="K436" s="1"/>
      <c r="N436" s="1"/>
      <c r="Q436" s="1"/>
      <c r="R436" s="113"/>
      <c r="S436" s="113"/>
      <c r="T436" s="113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13"/>
      <c r="H437" s="113"/>
      <c r="K437" s="1"/>
      <c r="N437" s="1"/>
      <c r="Q437" s="1"/>
      <c r="R437" s="113"/>
      <c r="S437" s="113"/>
      <c r="T437" s="113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13"/>
      <c r="H438" s="113"/>
      <c r="K438" s="1"/>
      <c r="N438" s="1"/>
      <c r="Q438" s="1"/>
      <c r="R438" s="113"/>
      <c r="S438" s="113"/>
      <c r="T438" s="113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13"/>
      <c r="H439" s="113"/>
      <c r="K439" s="1"/>
      <c r="N439" s="1"/>
      <c r="Q439" s="1"/>
      <c r="R439" s="113"/>
      <c r="S439" s="113"/>
      <c r="T439" s="113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13"/>
      <c r="H440" s="113"/>
      <c r="K440" s="1"/>
      <c r="N440" s="1"/>
      <c r="Q440" s="1"/>
      <c r="R440" s="113"/>
      <c r="S440" s="113"/>
      <c r="T440" s="113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13"/>
      <c r="H441" s="113"/>
      <c r="K441" s="1"/>
      <c r="N441" s="1"/>
      <c r="Q441" s="1"/>
      <c r="R441" s="113"/>
      <c r="S441" s="113"/>
      <c r="T441" s="113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13"/>
      <c r="H442" s="113"/>
      <c r="K442" s="1"/>
      <c r="N442" s="1"/>
      <c r="Q442" s="1"/>
      <c r="R442" s="113"/>
      <c r="S442" s="113"/>
      <c r="T442" s="113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13"/>
      <c r="H443" s="113"/>
      <c r="K443" s="1"/>
      <c r="N443" s="1"/>
      <c r="Q443" s="1"/>
      <c r="R443" s="113"/>
      <c r="S443" s="113"/>
      <c r="T443" s="113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13"/>
      <c r="H444" s="113"/>
      <c r="K444" s="1"/>
      <c r="N444" s="1"/>
      <c r="Q444" s="1"/>
      <c r="R444" s="113"/>
      <c r="S444" s="113"/>
      <c r="T444" s="113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13"/>
      <c r="H445" s="113"/>
      <c r="K445" s="1"/>
      <c r="N445" s="1"/>
      <c r="Q445" s="1"/>
      <c r="R445" s="113"/>
      <c r="S445" s="113"/>
      <c r="T445" s="113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13"/>
      <c r="H446" s="113"/>
      <c r="K446" s="1"/>
      <c r="N446" s="1"/>
      <c r="Q446" s="1"/>
      <c r="R446" s="113"/>
      <c r="S446" s="113"/>
      <c r="T446" s="113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13"/>
      <c r="H447" s="113"/>
      <c r="K447" s="1"/>
      <c r="N447" s="1"/>
      <c r="Q447" s="1"/>
      <c r="R447" s="113"/>
      <c r="S447" s="113"/>
      <c r="T447" s="113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13"/>
      <c r="H448" s="113"/>
      <c r="K448" s="1"/>
      <c r="N448" s="1"/>
      <c r="Q448" s="1"/>
      <c r="R448" s="113"/>
      <c r="S448" s="113"/>
      <c r="T448" s="113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13"/>
      <c r="H449" s="113"/>
      <c r="K449" s="1"/>
      <c r="N449" s="1"/>
      <c r="Q449" s="1"/>
      <c r="R449" s="113"/>
      <c r="S449" s="113"/>
      <c r="T449" s="113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13"/>
      <c r="H450" s="113"/>
      <c r="K450" s="1"/>
      <c r="N450" s="1"/>
      <c r="Q450" s="1"/>
      <c r="R450" s="113"/>
      <c r="S450" s="113"/>
      <c r="T450" s="113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13"/>
      <c r="H451" s="113"/>
      <c r="K451" s="1"/>
      <c r="N451" s="1"/>
      <c r="Q451" s="1"/>
      <c r="R451" s="113"/>
      <c r="S451" s="113"/>
      <c r="T451" s="113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13"/>
      <c r="H452" s="113"/>
      <c r="K452" s="1"/>
      <c r="N452" s="1"/>
      <c r="Q452" s="1"/>
      <c r="R452" s="113"/>
      <c r="S452" s="113"/>
      <c r="T452" s="113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13"/>
      <c r="H453" s="113"/>
      <c r="K453" s="1"/>
      <c r="N453" s="1"/>
      <c r="Q453" s="1"/>
      <c r="R453" s="113"/>
      <c r="S453" s="113"/>
      <c r="T453" s="113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13"/>
      <c r="H454" s="113"/>
      <c r="K454" s="1"/>
      <c r="N454" s="1"/>
      <c r="Q454" s="1"/>
      <c r="R454" s="113"/>
      <c r="S454" s="113"/>
      <c r="T454" s="113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13"/>
      <c r="H455" s="113"/>
      <c r="K455" s="1"/>
      <c r="N455" s="1"/>
      <c r="Q455" s="1"/>
      <c r="R455" s="113"/>
      <c r="S455" s="113"/>
      <c r="T455" s="113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13"/>
      <c r="H456" s="113"/>
      <c r="K456" s="1"/>
      <c r="N456" s="1"/>
      <c r="Q456" s="1"/>
      <c r="R456" s="113"/>
      <c r="S456" s="113"/>
      <c r="T456" s="113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13"/>
      <c r="H457" s="113"/>
      <c r="K457" s="1"/>
      <c r="N457" s="1"/>
      <c r="Q457" s="1"/>
      <c r="R457" s="113"/>
      <c r="S457" s="113"/>
      <c r="T457" s="113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13"/>
      <c r="H458" s="113"/>
      <c r="K458" s="1"/>
      <c r="N458" s="1"/>
      <c r="Q458" s="1"/>
      <c r="R458" s="113"/>
      <c r="S458" s="113"/>
      <c r="T458" s="113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13"/>
      <c r="H459" s="113"/>
      <c r="K459" s="1"/>
      <c r="N459" s="1"/>
      <c r="Q459" s="1"/>
      <c r="R459" s="113"/>
      <c r="S459" s="113"/>
      <c r="T459" s="113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13"/>
      <c r="H460" s="113"/>
      <c r="K460" s="1"/>
      <c r="N460" s="1"/>
      <c r="Q460" s="1"/>
      <c r="R460" s="113"/>
      <c r="S460" s="113"/>
      <c r="T460" s="113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13"/>
      <c r="H461" s="113"/>
      <c r="K461" s="1"/>
      <c r="N461" s="1"/>
      <c r="Q461" s="1"/>
      <c r="R461" s="113"/>
      <c r="S461" s="113"/>
      <c r="T461" s="113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13"/>
      <c r="H462" s="113"/>
      <c r="K462" s="1"/>
      <c r="N462" s="1"/>
      <c r="Q462" s="1"/>
      <c r="R462" s="113"/>
      <c r="S462" s="113"/>
      <c r="T462" s="113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13"/>
      <c r="H463" s="113"/>
      <c r="K463" s="1"/>
      <c r="N463" s="1"/>
      <c r="Q463" s="1"/>
      <c r="R463" s="113"/>
      <c r="S463" s="113"/>
      <c r="T463" s="113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13"/>
      <c r="H464" s="113"/>
      <c r="K464" s="1"/>
      <c r="N464" s="1"/>
      <c r="Q464" s="1"/>
      <c r="R464" s="113"/>
      <c r="S464" s="113"/>
      <c r="T464" s="113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13"/>
      <c r="H465" s="113"/>
      <c r="K465" s="1"/>
      <c r="N465" s="1"/>
      <c r="Q465" s="1"/>
      <c r="R465" s="113"/>
      <c r="S465" s="113"/>
      <c r="T465" s="113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13"/>
      <c r="H466" s="113"/>
      <c r="K466" s="1"/>
      <c r="N466" s="1"/>
      <c r="Q466" s="1"/>
      <c r="R466" s="113"/>
      <c r="S466" s="113"/>
      <c r="T466" s="113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13"/>
      <c r="H467" s="113"/>
      <c r="K467" s="1"/>
      <c r="N467" s="1"/>
      <c r="Q467" s="1"/>
      <c r="R467" s="113"/>
      <c r="S467" s="113"/>
      <c r="T467" s="113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13"/>
      <c r="H468" s="113"/>
      <c r="K468" s="1"/>
      <c r="N468" s="1"/>
      <c r="Q468" s="1"/>
      <c r="R468" s="113"/>
      <c r="S468" s="113"/>
      <c r="T468" s="113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13"/>
      <c r="H469" s="113"/>
      <c r="K469" s="1"/>
      <c r="N469" s="1"/>
      <c r="Q469" s="1"/>
      <c r="R469" s="113"/>
      <c r="S469" s="113"/>
      <c r="T469" s="113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13"/>
      <c r="H470" s="113"/>
      <c r="K470" s="1"/>
      <c r="N470" s="1"/>
      <c r="Q470" s="1"/>
      <c r="R470" s="113"/>
      <c r="S470" s="113"/>
      <c r="T470" s="113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13"/>
      <c r="H471" s="113"/>
      <c r="K471" s="1"/>
      <c r="N471" s="1"/>
      <c r="Q471" s="1"/>
      <c r="R471" s="113"/>
      <c r="S471" s="113"/>
      <c r="T471" s="113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13"/>
      <c r="H472" s="113"/>
      <c r="K472" s="1"/>
      <c r="N472" s="1"/>
      <c r="Q472" s="1"/>
      <c r="R472" s="113"/>
      <c r="S472" s="113"/>
      <c r="T472" s="113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13"/>
      <c r="H473" s="113"/>
      <c r="K473" s="1"/>
      <c r="N473" s="1"/>
      <c r="Q473" s="1"/>
      <c r="R473" s="113"/>
      <c r="S473" s="113"/>
      <c r="T473" s="113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13"/>
      <c r="H474" s="113"/>
      <c r="K474" s="1"/>
      <c r="N474" s="1"/>
      <c r="Q474" s="1"/>
      <c r="R474" s="113"/>
      <c r="S474" s="113"/>
      <c r="T474" s="113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13"/>
      <c r="H475" s="113"/>
      <c r="K475" s="1"/>
      <c r="N475" s="1"/>
      <c r="Q475" s="1"/>
      <c r="R475" s="113"/>
      <c r="S475" s="113"/>
      <c r="T475" s="113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13"/>
      <c r="H476" s="113"/>
      <c r="K476" s="1"/>
      <c r="N476" s="1"/>
      <c r="Q476" s="1"/>
      <c r="R476" s="113"/>
      <c r="S476" s="113"/>
      <c r="T476" s="113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13"/>
      <c r="H477" s="113"/>
      <c r="K477" s="1"/>
      <c r="N477" s="1"/>
      <c r="Q477" s="1"/>
      <c r="R477" s="113"/>
      <c r="S477" s="113"/>
      <c r="T477" s="113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13"/>
      <c r="H478" s="113"/>
      <c r="K478" s="1"/>
      <c r="N478" s="1"/>
      <c r="Q478" s="1"/>
      <c r="R478" s="113"/>
      <c r="S478" s="113"/>
      <c r="T478" s="113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13"/>
      <c r="H479" s="113"/>
      <c r="K479" s="1"/>
      <c r="N479" s="1"/>
      <c r="Q479" s="1"/>
      <c r="R479" s="113"/>
      <c r="S479" s="113"/>
      <c r="T479" s="113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13"/>
      <c r="H480" s="113"/>
      <c r="K480" s="1"/>
      <c r="N480" s="1"/>
      <c r="Q480" s="1"/>
      <c r="R480" s="113"/>
      <c r="S480" s="113"/>
      <c r="T480" s="113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13"/>
      <c r="H481" s="113"/>
      <c r="K481" s="1"/>
      <c r="N481" s="1"/>
      <c r="Q481" s="1"/>
      <c r="R481" s="113"/>
      <c r="S481" s="113"/>
      <c r="T481" s="113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13"/>
      <c r="H482" s="113"/>
      <c r="K482" s="1"/>
      <c r="N482" s="1"/>
      <c r="Q482" s="1"/>
      <c r="R482" s="113"/>
      <c r="S482" s="113"/>
      <c r="T482" s="113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13"/>
      <c r="H483" s="113"/>
      <c r="K483" s="1"/>
      <c r="N483" s="1"/>
      <c r="Q483" s="1"/>
      <c r="R483" s="113"/>
      <c r="S483" s="113"/>
      <c r="T483" s="113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13"/>
      <c r="H484" s="113"/>
      <c r="K484" s="1"/>
      <c r="N484" s="1"/>
      <c r="Q484" s="1"/>
      <c r="R484" s="113"/>
      <c r="S484" s="113"/>
      <c r="T484" s="113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13"/>
      <c r="H485" s="113"/>
      <c r="K485" s="1"/>
      <c r="N485" s="1"/>
      <c r="Q485" s="1"/>
      <c r="R485" s="113"/>
      <c r="S485" s="113"/>
      <c r="T485" s="113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13"/>
      <c r="H486" s="113"/>
      <c r="K486" s="1"/>
      <c r="N486" s="1"/>
      <c r="Q486" s="1"/>
      <c r="R486" s="113"/>
      <c r="S486" s="113"/>
      <c r="T486" s="113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13"/>
      <c r="H487" s="113"/>
      <c r="K487" s="1"/>
      <c r="N487" s="1"/>
      <c r="Q487" s="1"/>
      <c r="R487" s="113"/>
      <c r="S487" s="113"/>
      <c r="T487" s="113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13"/>
      <c r="H488" s="113"/>
      <c r="K488" s="1"/>
      <c r="N488" s="1"/>
      <c r="Q488" s="1"/>
      <c r="R488" s="113"/>
      <c r="S488" s="113"/>
      <c r="T488" s="113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13"/>
      <c r="H489" s="113"/>
      <c r="K489" s="1"/>
      <c r="N489" s="1"/>
      <c r="Q489" s="1"/>
      <c r="R489" s="113"/>
      <c r="S489" s="113"/>
      <c r="T489" s="113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13"/>
      <c r="H490" s="113"/>
      <c r="K490" s="1"/>
      <c r="N490" s="1"/>
      <c r="Q490" s="1"/>
      <c r="R490" s="113"/>
      <c r="S490" s="113"/>
      <c r="T490" s="113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13"/>
      <c r="H491" s="113"/>
      <c r="K491" s="1"/>
      <c r="N491" s="1"/>
      <c r="Q491" s="1"/>
      <c r="R491" s="113"/>
      <c r="S491" s="113"/>
      <c r="T491" s="113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13"/>
      <c r="H492" s="113"/>
      <c r="K492" s="1"/>
      <c r="N492" s="1"/>
      <c r="Q492" s="1"/>
      <c r="R492" s="113"/>
      <c r="S492" s="113"/>
      <c r="T492" s="113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13"/>
      <c r="H493" s="113"/>
      <c r="K493" s="1"/>
      <c r="N493" s="1"/>
      <c r="Q493" s="1"/>
      <c r="R493" s="113"/>
      <c r="S493" s="113"/>
      <c r="T493" s="113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13"/>
      <c r="H494" s="113"/>
      <c r="K494" s="1"/>
      <c r="N494" s="1"/>
      <c r="Q494" s="1"/>
      <c r="R494" s="113"/>
      <c r="S494" s="113"/>
      <c r="T494" s="113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13"/>
      <c r="H495" s="113"/>
      <c r="K495" s="1"/>
      <c r="N495" s="1"/>
      <c r="Q495" s="1"/>
      <c r="R495" s="113"/>
      <c r="S495" s="113"/>
      <c r="T495" s="113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13"/>
      <c r="H496" s="113"/>
      <c r="K496" s="1"/>
      <c r="N496" s="1"/>
      <c r="Q496" s="1"/>
      <c r="R496" s="113"/>
      <c r="S496" s="113"/>
      <c r="T496" s="113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13"/>
      <c r="H497" s="113"/>
      <c r="K497" s="1"/>
      <c r="N497" s="1"/>
      <c r="Q497" s="1"/>
      <c r="R497" s="113"/>
      <c r="S497" s="113"/>
      <c r="T497" s="113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13"/>
      <c r="H498" s="113"/>
      <c r="K498" s="1"/>
      <c r="N498" s="1"/>
      <c r="Q498" s="1"/>
      <c r="R498" s="113"/>
      <c r="S498" s="113"/>
      <c r="T498" s="113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13"/>
      <c r="H499" s="113"/>
      <c r="K499" s="1"/>
      <c r="N499" s="1"/>
      <c r="Q499" s="1"/>
      <c r="R499" s="113"/>
      <c r="S499" s="113"/>
      <c r="T499" s="113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13"/>
      <c r="H500" s="113"/>
      <c r="K500" s="1"/>
      <c r="N500" s="1"/>
      <c r="Q500" s="1"/>
      <c r="R500" s="113"/>
      <c r="S500" s="113"/>
      <c r="T500" s="113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13"/>
      <c r="H501" s="113"/>
      <c r="K501" s="1"/>
      <c r="N501" s="1"/>
      <c r="Q501" s="1"/>
      <c r="R501" s="113"/>
      <c r="S501" s="113"/>
      <c r="T501" s="113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13"/>
      <c r="H502" s="113"/>
      <c r="K502" s="1"/>
      <c r="N502" s="1"/>
      <c r="Q502" s="1"/>
      <c r="R502" s="113"/>
      <c r="S502" s="113"/>
      <c r="T502" s="113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13"/>
      <c r="H503" s="113"/>
      <c r="K503" s="1"/>
      <c r="N503" s="1"/>
      <c r="Q503" s="1"/>
      <c r="R503" s="113"/>
      <c r="S503" s="113"/>
      <c r="T503" s="113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13"/>
      <c r="H504" s="113"/>
      <c r="K504" s="1"/>
      <c r="N504" s="1"/>
      <c r="Q504" s="1"/>
      <c r="R504" s="113"/>
      <c r="S504" s="113"/>
      <c r="T504" s="113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13"/>
      <c r="H505" s="113"/>
      <c r="K505" s="1"/>
      <c r="N505" s="1"/>
      <c r="Q505" s="1"/>
      <c r="R505" s="113"/>
      <c r="S505" s="113"/>
      <c r="T505" s="113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13"/>
      <c r="H506" s="113"/>
      <c r="K506" s="1"/>
      <c r="N506" s="1"/>
      <c r="Q506" s="1"/>
      <c r="R506" s="113"/>
      <c r="S506" s="113"/>
      <c r="T506" s="113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13"/>
      <c r="H507" s="113"/>
      <c r="K507" s="1"/>
      <c r="N507" s="1"/>
      <c r="Q507" s="1"/>
      <c r="R507" s="113"/>
      <c r="S507" s="113"/>
      <c r="T507" s="113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13"/>
      <c r="H508" s="113"/>
      <c r="K508" s="1"/>
      <c r="N508" s="1"/>
      <c r="Q508" s="1"/>
      <c r="R508" s="113"/>
      <c r="S508" s="113"/>
      <c r="T508" s="113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13"/>
      <c r="H509" s="113"/>
      <c r="K509" s="1"/>
      <c r="N509" s="1"/>
      <c r="Q509" s="1"/>
      <c r="R509" s="113"/>
      <c r="S509" s="113"/>
      <c r="T509" s="113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13"/>
      <c r="H510" s="113"/>
      <c r="K510" s="1"/>
      <c r="N510" s="1"/>
      <c r="Q510" s="1"/>
      <c r="R510" s="113"/>
      <c r="S510" s="113"/>
      <c r="T510" s="113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13"/>
      <c r="H511" s="113"/>
      <c r="K511" s="1"/>
      <c r="N511" s="1"/>
      <c r="Q511" s="1"/>
      <c r="R511" s="113"/>
      <c r="S511" s="113"/>
      <c r="T511" s="113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13"/>
      <c r="H512" s="113"/>
      <c r="K512" s="1"/>
      <c r="N512" s="1"/>
      <c r="Q512" s="1"/>
      <c r="R512" s="113"/>
      <c r="S512" s="113"/>
      <c r="T512" s="113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13"/>
      <c r="H513" s="113"/>
      <c r="K513" s="1"/>
      <c r="N513" s="1"/>
      <c r="Q513" s="1"/>
      <c r="R513" s="113"/>
      <c r="S513" s="113"/>
      <c r="T513" s="113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13"/>
      <c r="H514" s="113"/>
      <c r="K514" s="1"/>
      <c r="N514" s="1"/>
      <c r="Q514" s="1"/>
      <c r="R514" s="113"/>
      <c r="S514" s="113"/>
      <c r="T514" s="113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13"/>
      <c r="H515" s="113"/>
      <c r="K515" s="1"/>
      <c r="N515" s="1"/>
      <c r="Q515" s="1"/>
      <c r="R515" s="113"/>
      <c r="S515" s="113"/>
      <c r="T515" s="113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13"/>
      <c r="H516" s="113"/>
      <c r="K516" s="1"/>
      <c r="N516" s="1"/>
      <c r="Q516" s="1"/>
      <c r="R516" s="113"/>
      <c r="S516" s="113"/>
      <c r="T516" s="113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13"/>
      <c r="H517" s="113"/>
      <c r="K517" s="1"/>
      <c r="N517" s="1"/>
      <c r="Q517" s="1"/>
      <c r="R517" s="113"/>
      <c r="S517" s="113"/>
      <c r="T517" s="113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13"/>
      <c r="H518" s="113"/>
      <c r="K518" s="1"/>
      <c r="N518" s="1"/>
      <c r="Q518" s="1"/>
      <c r="R518" s="113"/>
      <c r="S518" s="113"/>
      <c r="T518" s="113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13"/>
      <c r="H519" s="113"/>
      <c r="K519" s="1"/>
      <c r="N519" s="1"/>
      <c r="Q519" s="1"/>
      <c r="R519" s="113"/>
      <c r="S519" s="113"/>
      <c r="T519" s="113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13"/>
      <c r="H520" s="113"/>
      <c r="K520" s="1"/>
      <c r="N520" s="1"/>
      <c r="Q520" s="1"/>
      <c r="R520" s="113"/>
      <c r="S520" s="113"/>
      <c r="T520" s="113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13"/>
      <c r="H521" s="113"/>
      <c r="K521" s="1"/>
      <c r="N521" s="1"/>
      <c r="Q521" s="1"/>
      <c r="R521" s="113"/>
      <c r="S521" s="113"/>
      <c r="T521" s="113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13"/>
      <c r="H522" s="113"/>
      <c r="K522" s="1"/>
      <c r="N522" s="1"/>
      <c r="Q522" s="1"/>
      <c r="R522" s="113"/>
      <c r="S522" s="113"/>
      <c r="T522" s="113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13"/>
      <c r="H523" s="113"/>
      <c r="K523" s="1"/>
      <c r="N523" s="1"/>
      <c r="Q523" s="1"/>
      <c r="R523" s="113"/>
      <c r="S523" s="113"/>
      <c r="T523" s="113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13"/>
      <c r="H524" s="113"/>
      <c r="K524" s="1"/>
      <c r="N524" s="1"/>
      <c r="Q524" s="1"/>
      <c r="R524" s="113"/>
      <c r="S524" s="113"/>
      <c r="T524" s="113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13"/>
      <c r="H525" s="113"/>
      <c r="K525" s="1"/>
      <c r="N525" s="1"/>
      <c r="Q525" s="1"/>
      <c r="R525" s="113"/>
      <c r="S525" s="113"/>
      <c r="T525" s="113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13"/>
      <c r="H526" s="113"/>
      <c r="K526" s="1"/>
      <c r="N526" s="1"/>
      <c r="Q526" s="1"/>
      <c r="R526" s="113"/>
      <c r="S526" s="113"/>
      <c r="T526" s="113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13"/>
      <c r="H527" s="113"/>
      <c r="K527" s="1"/>
      <c r="N527" s="1"/>
      <c r="Q527" s="1"/>
      <c r="R527" s="113"/>
      <c r="S527" s="113"/>
      <c r="T527" s="113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13"/>
      <c r="H528" s="113"/>
      <c r="K528" s="1"/>
      <c r="N528" s="1"/>
      <c r="Q528" s="1"/>
      <c r="R528" s="113"/>
      <c r="S528" s="113"/>
      <c r="T528" s="113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13"/>
      <c r="H529" s="113"/>
      <c r="K529" s="1"/>
      <c r="N529" s="1"/>
      <c r="Q529" s="1"/>
      <c r="R529" s="113"/>
      <c r="S529" s="113"/>
      <c r="T529" s="113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13"/>
      <c r="H530" s="113"/>
      <c r="K530" s="1"/>
      <c r="N530" s="1"/>
      <c r="Q530" s="1"/>
      <c r="R530" s="113"/>
      <c r="S530" s="113"/>
      <c r="T530" s="113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13"/>
      <c r="H531" s="113"/>
      <c r="K531" s="1"/>
      <c r="N531" s="1"/>
      <c r="Q531" s="1"/>
      <c r="R531" s="113"/>
      <c r="S531" s="113"/>
      <c r="T531" s="113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13"/>
      <c r="H532" s="113"/>
      <c r="K532" s="1"/>
      <c r="N532" s="1"/>
      <c r="Q532" s="1"/>
      <c r="R532" s="113"/>
      <c r="S532" s="113"/>
      <c r="T532" s="113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13"/>
      <c r="H533" s="113"/>
      <c r="K533" s="1"/>
      <c r="N533" s="1"/>
      <c r="Q533" s="1"/>
      <c r="R533" s="113"/>
      <c r="S533" s="113"/>
      <c r="T533" s="113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13"/>
      <c r="H534" s="113"/>
      <c r="K534" s="1"/>
      <c r="N534" s="1"/>
      <c r="Q534" s="1"/>
      <c r="R534" s="113"/>
      <c r="S534" s="113"/>
      <c r="T534" s="113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13"/>
      <c r="H535" s="113"/>
      <c r="K535" s="1"/>
      <c r="N535" s="1"/>
      <c r="Q535" s="1"/>
      <c r="R535" s="113"/>
      <c r="S535" s="113"/>
      <c r="T535" s="113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13"/>
      <c r="H536" s="113"/>
      <c r="K536" s="1"/>
      <c r="N536" s="1"/>
      <c r="Q536" s="1"/>
      <c r="R536" s="113"/>
      <c r="S536" s="113"/>
      <c r="T536" s="113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13"/>
      <c r="H537" s="113"/>
      <c r="K537" s="1"/>
      <c r="N537" s="1"/>
      <c r="Q537" s="1"/>
      <c r="R537" s="113"/>
      <c r="S537" s="113"/>
      <c r="T537" s="113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13"/>
      <c r="H538" s="113"/>
      <c r="K538" s="1"/>
      <c r="N538" s="1"/>
      <c r="Q538" s="1"/>
      <c r="R538" s="113"/>
      <c r="S538" s="113"/>
      <c r="T538" s="113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13"/>
      <c r="H539" s="113"/>
      <c r="K539" s="1"/>
      <c r="N539" s="1"/>
      <c r="Q539" s="1"/>
      <c r="R539" s="113"/>
      <c r="S539" s="113"/>
      <c r="T539" s="113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13"/>
      <c r="H540" s="113"/>
      <c r="K540" s="1"/>
      <c r="N540" s="1"/>
      <c r="Q540" s="1"/>
      <c r="R540" s="113"/>
      <c r="S540" s="113"/>
      <c r="T540" s="113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13"/>
      <c r="H541" s="113"/>
      <c r="K541" s="1"/>
      <c r="N541" s="1"/>
      <c r="Q541" s="1"/>
      <c r="R541" s="113"/>
      <c r="S541" s="113"/>
      <c r="T541" s="113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13"/>
      <c r="H542" s="113"/>
      <c r="K542" s="1"/>
      <c r="N542" s="1"/>
      <c r="Q542" s="1"/>
      <c r="R542" s="113"/>
      <c r="S542" s="113"/>
      <c r="T542" s="113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13"/>
      <c r="H543" s="113"/>
      <c r="K543" s="1"/>
      <c r="N543" s="1"/>
      <c r="Q543" s="1"/>
      <c r="R543" s="113"/>
      <c r="S543" s="113"/>
      <c r="T543" s="113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13"/>
      <c r="H544" s="113"/>
      <c r="K544" s="1"/>
      <c r="N544" s="1"/>
      <c r="Q544" s="1"/>
      <c r="R544" s="113"/>
      <c r="S544" s="113"/>
      <c r="T544" s="113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13"/>
      <c r="H545" s="113"/>
      <c r="K545" s="1"/>
      <c r="N545" s="1"/>
      <c r="Q545" s="1"/>
      <c r="R545" s="113"/>
      <c r="S545" s="113"/>
      <c r="T545" s="113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13"/>
      <c r="H546" s="113"/>
      <c r="K546" s="1"/>
      <c r="N546" s="1"/>
      <c r="Q546" s="1"/>
      <c r="R546" s="113"/>
      <c r="S546" s="113"/>
      <c r="T546" s="113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13"/>
      <c r="H547" s="113"/>
      <c r="K547" s="1"/>
      <c r="N547" s="1"/>
      <c r="Q547" s="1"/>
      <c r="R547" s="113"/>
      <c r="S547" s="113"/>
      <c r="T547" s="113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13"/>
      <c r="H548" s="113"/>
      <c r="K548" s="1"/>
      <c r="N548" s="1"/>
      <c r="Q548" s="1"/>
      <c r="R548" s="113"/>
      <c r="S548" s="113"/>
      <c r="T548" s="113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13"/>
      <c r="H549" s="113"/>
      <c r="K549" s="1"/>
      <c r="N549" s="1"/>
      <c r="Q549" s="1"/>
      <c r="R549" s="113"/>
      <c r="S549" s="113"/>
      <c r="T549" s="113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13"/>
      <c r="H550" s="113"/>
      <c r="K550" s="1"/>
      <c r="N550" s="1"/>
      <c r="Q550" s="1"/>
      <c r="R550" s="113"/>
      <c r="S550" s="113"/>
      <c r="T550" s="113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13"/>
      <c r="H551" s="113"/>
      <c r="K551" s="1"/>
      <c r="N551" s="1"/>
      <c r="Q551" s="1"/>
      <c r="R551" s="113"/>
      <c r="S551" s="113"/>
      <c r="T551" s="113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13"/>
      <c r="H552" s="113"/>
      <c r="K552" s="1"/>
      <c r="N552" s="1"/>
      <c r="Q552" s="1"/>
      <c r="R552" s="113"/>
      <c r="S552" s="113"/>
      <c r="T552" s="113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13"/>
      <c r="H553" s="113"/>
      <c r="K553" s="1"/>
      <c r="N553" s="1"/>
      <c r="Q553" s="1"/>
      <c r="R553" s="113"/>
      <c r="S553" s="113"/>
      <c r="T553" s="113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13"/>
      <c r="H554" s="113"/>
      <c r="K554" s="1"/>
      <c r="N554" s="1"/>
      <c r="Q554" s="1"/>
      <c r="R554" s="113"/>
      <c r="S554" s="113"/>
      <c r="T554" s="113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13"/>
      <c r="H555" s="113"/>
      <c r="K555" s="1"/>
      <c r="N555" s="1"/>
      <c r="Q555" s="1"/>
      <c r="R555" s="113"/>
      <c r="S555" s="113"/>
      <c r="T555" s="113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13"/>
      <c r="H556" s="113"/>
      <c r="K556" s="1"/>
      <c r="N556" s="1"/>
      <c r="Q556" s="1"/>
      <c r="R556" s="113"/>
      <c r="S556" s="113"/>
      <c r="T556" s="113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13"/>
      <c r="H557" s="113"/>
      <c r="K557" s="1"/>
      <c r="N557" s="1"/>
      <c r="Q557" s="1"/>
      <c r="R557" s="113"/>
      <c r="S557" s="113"/>
      <c r="T557" s="113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13"/>
      <c r="H558" s="113"/>
      <c r="K558" s="1"/>
      <c r="N558" s="1"/>
      <c r="Q558" s="1"/>
      <c r="R558" s="113"/>
      <c r="S558" s="113"/>
      <c r="T558" s="113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13"/>
      <c r="H559" s="113"/>
      <c r="K559" s="1"/>
      <c r="N559" s="1"/>
      <c r="Q559" s="1"/>
      <c r="R559" s="113"/>
      <c r="S559" s="113"/>
      <c r="T559" s="113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13"/>
      <c r="H560" s="113"/>
      <c r="K560" s="1"/>
      <c r="N560" s="1"/>
      <c r="Q560" s="1"/>
      <c r="R560" s="113"/>
      <c r="S560" s="113"/>
      <c r="T560" s="113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13"/>
      <c r="H561" s="113"/>
      <c r="K561" s="1"/>
      <c r="N561" s="1"/>
      <c r="Q561" s="1"/>
      <c r="R561" s="113"/>
      <c r="S561" s="113"/>
      <c r="T561" s="113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13"/>
      <c r="H562" s="113"/>
      <c r="K562" s="1"/>
      <c r="N562" s="1"/>
      <c r="Q562" s="1"/>
      <c r="R562" s="113"/>
      <c r="S562" s="113"/>
      <c r="T562" s="113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13"/>
      <c r="H563" s="113"/>
      <c r="K563" s="1"/>
      <c r="N563" s="1"/>
      <c r="Q563" s="1"/>
      <c r="R563" s="113"/>
      <c r="S563" s="113"/>
      <c r="T563" s="113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13"/>
      <c r="H564" s="113"/>
      <c r="K564" s="1"/>
      <c r="N564" s="1"/>
      <c r="Q564" s="1"/>
      <c r="R564" s="113"/>
      <c r="S564" s="113"/>
      <c r="T564" s="113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13"/>
      <c r="H565" s="113"/>
      <c r="K565" s="1"/>
      <c r="N565" s="1"/>
      <c r="Q565" s="1"/>
      <c r="R565" s="113"/>
      <c r="S565" s="113"/>
      <c r="T565" s="113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13"/>
      <c r="H566" s="113"/>
      <c r="K566" s="1"/>
      <c r="N566" s="1"/>
      <c r="Q566" s="1"/>
      <c r="R566" s="113"/>
      <c r="S566" s="113"/>
      <c r="T566" s="113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13"/>
      <c r="H567" s="113"/>
      <c r="K567" s="1"/>
      <c r="N567" s="1"/>
      <c r="Q567" s="1"/>
      <c r="R567" s="113"/>
      <c r="S567" s="113"/>
      <c r="T567" s="113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13"/>
      <c r="H568" s="113"/>
      <c r="K568" s="1"/>
      <c r="N568" s="1"/>
      <c r="Q568" s="1"/>
      <c r="R568" s="113"/>
      <c r="S568" s="113"/>
      <c r="T568" s="113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13"/>
      <c r="H569" s="113"/>
      <c r="K569" s="1"/>
      <c r="N569" s="1"/>
      <c r="Q569" s="1"/>
      <c r="R569" s="113"/>
      <c r="S569" s="113"/>
      <c r="T569" s="113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13"/>
      <c r="H570" s="113"/>
      <c r="K570" s="1"/>
      <c r="N570" s="1"/>
      <c r="Q570" s="1"/>
      <c r="R570" s="113"/>
      <c r="S570" s="113"/>
      <c r="T570" s="113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13"/>
      <c r="H571" s="113"/>
      <c r="K571" s="1"/>
      <c r="N571" s="1"/>
      <c r="Q571" s="1"/>
      <c r="R571" s="113"/>
      <c r="S571" s="113"/>
      <c r="T571" s="113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13"/>
      <c r="H572" s="113"/>
      <c r="K572" s="1"/>
      <c r="N572" s="1"/>
      <c r="Q572" s="1"/>
      <c r="R572" s="113"/>
      <c r="S572" s="113"/>
      <c r="T572" s="113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13"/>
      <c r="H573" s="113"/>
      <c r="K573" s="1"/>
      <c r="N573" s="1"/>
      <c r="Q573" s="1"/>
      <c r="R573" s="113"/>
      <c r="S573" s="113"/>
      <c r="T573" s="113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13"/>
      <c r="H574" s="113"/>
      <c r="K574" s="1"/>
      <c r="N574" s="1"/>
      <c r="Q574" s="1"/>
      <c r="R574" s="113"/>
      <c r="S574" s="113"/>
      <c r="T574" s="113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13"/>
      <c r="H575" s="113"/>
      <c r="K575" s="1"/>
      <c r="N575" s="1"/>
      <c r="Q575" s="1"/>
      <c r="R575" s="113"/>
      <c r="S575" s="113"/>
      <c r="T575" s="113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13"/>
      <c r="H576" s="113"/>
      <c r="K576" s="1"/>
      <c r="N576" s="1"/>
      <c r="Q576" s="1"/>
      <c r="R576" s="113"/>
      <c r="S576" s="113"/>
      <c r="T576" s="113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13"/>
      <c r="H577" s="113"/>
      <c r="K577" s="1"/>
      <c r="N577" s="1"/>
      <c r="Q577" s="1"/>
      <c r="R577" s="113"/>
      <c r="S577" s="113"/>
      <c r="T577" s="113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13"/>
      <c r="H578" s="113"/>
      <c r="K578" s="1"/>
      <c r="N578" s="1"/>
      <c r="Q578" s="1"/>
      <c r="R578" s="113"/>
      <c r="S578" s="113"/>
      <c r="T578" s="113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13"/>
      <c r="H579" s="113"/>
      <c r="K579" s="1"/>
      <c r="N579" s="1"/>
      <c r="Q579" s="1"/>
      <c r="R579" s="113"/>
      <c r="S579" s="113"/>
      <c r="T579" s="113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13"/>
      <c r="H580" s="113"/>
      <c r="K580" s="1"/>
      <c r="N580" s="1"/>
      <c r="Q580" s="1"/>
      <c r="R580" s="113"/>
      <c r="S580" s="113"/>
      <c r="T580" s="113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13"/>
      <c r="H581" s="113"/>
      <c r="K581" s="1"/>
      <c r="N581" s="1"/>
      <c r="Q581" s="1"/>
      <c r="R581" s="113"/>
      <c r="S581" s="113"/>
      <c r="T581" s="113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13"/>
      <c r="H582" s="113"/>
      <c r="K582" s="1"/>
      <c r="N582" s="1"/>
      <c r="Q582" s="1"/>
      <c r="R582" s="113"/>
      <c r="S582" s="113"/>
      <c r="T582" s="113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13"/>
      <c r="H583" s="113"/>
      <c r="K583" s="1"/>
      <c r="N583" s="1"/>
      <c r="Q583" s="1"/>
      <c r="R583" s="113"/>
      <c r="S583" s="113"/>
      <c r="T583" s="113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13"/>
      <c r="H584" s="113"/>
      <c r="K584" s="1"/>
      <c r="N584" s="1"/>
      <c r="Q584" s="1"/>
      <c r="R584" s="113"/>
      <c r="S584" s="113"/>
      <c r="T584" s="113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13"/>
      <c r="H585" s="113"/>
      <c r="K585" s="1"/>
      <c r="N585" s="1"/>
      <c r="Q585" s="1"/>
      <c r="R585" s="113"/>
      <c r="S585" s="113"/>
      <c r="T585" s="113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13"/>
      <c r="H586" s="113"/>
      <c r="K586" s="1"/>
      <c r="N586" s="1"/>
      <c r="Q586" s="1"/>
      <c r="R586" s="113"/>
      <c r="S586" s="113"/>
      <c r="T586" s="113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13"/>
      <c r="H587" s="113"/>
      <c r="K587" s="1"/>
      <c r="N587" s="1"/>
      <c r="Q587" s="1"/>
      <c r="R587" s="113"/>
      <c r="S587" s="113"/>
      <c r="T587" s="113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13"/>
      <c r="H588" s="113"/>
      <c r="K588" s="1"/>
      <c r="N588" s="1"/>
      <c r="Q588" s="1"/>
      <c r="R588" s="113"/>
      <c r="S588" s="113"/>
      <c r="T588" s="113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13"/>
      <c r="H589" s="113"/>
      <c r="K589" s="1"/>
      <c r="N589" s="1"/>
      <c r="Q589" s="1"/>
      <c r="R589" s="113"/>
      <c r="S589" s="113"/>
      <c r="T589" s="113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13"/>
      <c r="H590" s="113"/>
      <c r="K590" s="1"/>
      <c r="N590" s="1"/>
      <c r="Q590" s="1"/>
      <c r="R590" s="113"/>
      <c r="S590" s="113"/>
      <c r="T590" s="113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13"/>
      <c r="H591" s="113"/>
      <c r="K591" s="1"/>
      <c r="N591" s="1"/>
      <c r="Q591" s="1"/>
      <c r="R591" s="113"/>
      <c r="S591" s="113"/>
      <c r="T591" s="113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13"/>
      <c r="H592" s="113"/>
      <c r="K592" s="1"/>
      <c r="N592" s="1"/>
      <c r="Q592" s="1"/>
      <c r="R592" s="113"/>
      <c r="S592" s="113"/>
      <c r="T592" s="113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13"/>
      <c r="H593" s="113"/>
      <c r="K593" s="1"/>
      <c r="N593" s="1"/>
      <c r="Q593" s="1"/>
      <c r="R593" s="113"/>
      <c r="S593" s="113"/>
      <c r="T593" s="113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13"/>
      <c r="H594" s="113"/>
      <c r="K594" s="1"/>
      <c r="N594" s="1"/>
      <c r="Q594" s="1"/>
      <c r="R594" s="113"/>
      <c r="S594" s="113"/>
      <c r="T594" s="113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13"/>
      <c r="H595" s="113"/>
      <c r="K595" s="1"/>
      <c r="N595" s="1"/>
      <c r="Q595" s="1"/>
      <c r="R595" s="113"/>
      <c r="S595" s="113"/>
      <c r="T595" s="113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13"/>
      <c r="H596" s="113"/>
      <c r="K596" s="1"/>
      <c r="N596" s="1"/>
      <c r="Q596" s="1"/>
      <c r="R596" s="113"/>
      <c r="S596" s="113"/>
      <c r="T596" s="113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13"/>
      <c r="H597" s="113"/>
      <c r="K597" s="1"/>
      <c r="N597" s="1"/>
      <c r="Q597" s="1"/>
      <c r="R597" s="113"/>
      <c r="S597" s="113"/>
      <c r="T597" s="113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13"/>
      <c r="H598" s="113"/>
      <c r="K598" s="1"/>
      <c r="N598" s="1"/>
      <c r="Q598" s="1"/>
      <c r="R598" s="113"/>
      <c r="S598" s="113"/>
      <c r="T598" s="113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13"/>
      <c r="H599" s="113"/>
      <c r="K599" s="1"/>
      <c r="N599" s="1"/>
      <c r="Q599" s="1"/>
      <c r="R599" s="113"/>
      <c r="S599" s="113"/>
      <c r="T599" s="113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13"/>
      <c r="H600" s="113"/>
      <c r="K600" s="1"/>
      <c r="N600" s="1"/>
      <c r="Q600" s="1"/>
      <c r="R600" s="113"/>
      <c r="S600" s="113"/>
      <c r="T600" s="113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13"/>
      <c r="H601" s="113"/>
      <c r="K601" s="1"/>
      <c r="N601" s="1"/>
      <c r="Q601" s="1"/>
      <c r="R601" s="113"/>
      <c r="S601" s="113"/>
      <c r="T601" s="113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13"/>
      <c r="H602" s="113"/>
      <c r="K602" s="1"/>
      <c r="N602" s="1"/>
      <c r="Q602" s="1"/>
      <c r="R602" s="113"/>
      <c r="S602" s="113"/>
      <c r="T602" s="113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13"/>
      <c r="H603" s="113"/>
      <c r="K603" s="1"/>
      <c r="N603" s="1"/>
      <c r="Q603" s="1"/>
      <c r="R603" s="113"/>
      <c r="S603" s="113"/>
      <c r="T603" s="113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13"/>
      <c r="H604" s="113"/>
      <c r="K604" s="1"/>
      <c r="N604" s="1"/>
      <c r="Q604" s="1"/>
      <c r="R604" s="113"/>
      <c r="S604" s="113"/>
      <c r="T604" s="113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13"/>
      <c r="H605" s="113"/>
      <c r="K605" s="1"/>
      <c r="N605" s="1"/>
      <c r="Q605" s="1"/>
      <c r="R605" s="113"/>
      <c r="S605" s="113"/>
      <c r="T605" s="113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13"/>
      <c r="H606" s="113"/>
      <c r="K606" s="1"/>
      <c r="N606" s="1"/>
      <c r="Q606" s="1"/>
      <c r="R606" s="113"/>
      <c r="S606" s="113"/>
      <c r="T606" s="113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13"/>
      <c r="H607" s="113"/>
      <c r="K607" s="1"/>
      <c r="N607" s="1"/>
      <c r="Q607" s="1"/>
      <c r="R607" s="113"/>
      <c r="S607" s="113"/>
      <c r="T607" s="113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13"/>
      <c r="H608" s="113"/>
      <c r="K608" s="1"/>
      <c r="N608" s="1"/>
      <c r="Q608" s="1"/>
      <c r="R608" s="113"/>
      <c r="S608" s="113"/>
      <c r="T608" s="113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13"/>
      <c r="H609" s="113"/>
      <c r="K609" s="1"/>
      <c r="N609" s="1"/>
      <c r="Q609" s="1"/>
      <c r="R609" s="113"/>
      <c r="S609" s="113"/>
      <c r="T609" s="113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13"/>
      <c r="H610" s="113"/>
      <c r="K610" s="1"/>
      <c r="N610" s="1"/>
      <c r="Q610" s="1"/>
      <c r="R610" s="113"/>
      <c r="S610" s="113"/>
      <c r="T610" s="113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13"/>
      <c r="H611" s="113"/>
      <c r="K611" s="1"/>
      <c r="N611" s="1"/>
      <c r="Q611" s="1"/>
      <c r="R611" s="113"/>
      <c r="S611" s="113"/>
      <c r="T611" s="113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13"/>
      <c r="H612" s="113"/>
      <c r="K612" s="1"/>
      <c r="N612" s="1"/>
      <c r="Q612" s="1"/>
      <c r="R612" s="113"/>
      <c r="S612" s="113"/>
      <c r="T612" s="113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13"/>
      <c r="H613" s="113"/>
      <c r="K613" s="1"/>
      <c r="N613" s="1"/>
      <c r="Q613" s="1"/>
      <c r="R613" s="113"/>
      <c r="S613" s="113"/>
      <c r="T613" s="113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13"/>
      <c r="H614" s="113"/>
      <c r="K614" s="1"/>
      <c r="N614" s="1"/>
      <c r="Q614" s="1"/>
      <c r="R614" s="113"/>
      <c r="S614" s="113"/>
      <c r="T614" s="113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13"/>
      <c r="H615" s="113"/>
      <c r="K615" s="1"/>
      <c r="N615" s="1"/>
      <c r="Q615" s="1"/>
      <c r="R615" s="113"/>
      <c r="S615" s="113"/>
      <c r="T615" s="113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13"/>
      <c r="H616" s="113"/>
      <c r="K616" s="1"/>
      <c r="N616" s="1"/>
      <c r="Q616" s="1"/>
      <c r="R616" s="113"/>
      <c r="S616" s="113"/>
      <c r="T616" s="113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13"/>
      <c r="H617" s="113"/>
      <c r="K617" s="1"/>
      <c r="N617" s="1"/>
      <c r="Q617" s="1"/>
      <c r="R617" s="113"/>
      <c r="S617" s="113"/>
      <c r="T617" s="113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13"/>
      <c r="H618" s="113"/>
      <c r="K618" s="1"/>
      <c r="N618" s="1"/>
      <c r="Q618" s="1"/>
      <c r="R618" s="113"/>
      <c r="S618" s="113"/>
      <c r="T618" s="113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13"/>
      <c r="H619" s="113"/>
      <c r="K619" s="1"/>
      <c r="N619" s="1"/>
      <c r="Q619" s="1"/>
      <c r="R619" s="113"/>
      <c r="S619" s="113"/>
      <c r="T619" s="113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13"/>
      <c r="H620" s="113"/>
      <c r="K620" s="1"/>
      <c r="N620" s="1"/>
      <c r="Q620" s="1"/>
      <c r="R620" s="113"/>
      <c r="S620" s="113"/>
      <c r="T620" s="113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13"/>
      <c r="H621" s="113"/>
      <c r="K621" s="1"/>
      <c r="N621" s="1"/>
      <c r="Q621" s="1"/>
      <c r="R621" s="113"/>
      <c r="S621" s="113"/>
      <c r="T621" s="113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13"/>
      <c r="H622" s="113"/>
      <c r="K622" s="1"/>
      <c r="N622" s="1"/>
      <c r="Q622" s="1"/>
      <c r="R622" s="113"/>
      <c r="S622" s="113"/>
      <c r="T622" s="113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13"/>
      <c r="H623" s="113"/>
      <c r="K623" s="1"/>
      <c r="N623" s="1"/>
      <c r="Q623" s="1"/>
      <c r="R623" s="113"/>
      <c r="S623" s="113"/>
      <c r="T623" s="113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13"/>
      <c r="H624" s="113"/>
      <c r="K624" s="1"/>
      <c r="N624" s="1"/>
      <c r="Q624" s="1"/>
      <c r="R624" s="113"/>
      <c r="S624" s="113"/>
      <c r="T624" s="113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13"/>
      <c r="H625" s="113"/>
      <c r="K625" s="1"/>
      <c r="N625" s="1"/>
      <c r="Q625" s="1"/>
      <c r="R625" s="113"/>
      <c r="S625" s="113"/>
      <c r="T625" s="113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13"/>
      <c r="H626" s="113"/>
      <c r="K626" s="1"/>
      <c r="N626" s="1"/>
      <c r="Q626" s="1"/>
      <c r="R626" s="113"/>
      <c r="S626" s="113"/>
      <c r="T626" s="113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13"/>
      <c r="H627" s="113"/>
      <c r="K627" s="1"/>
      <c r="N627" s="1"/>
      <c r="Q627" s="1"/>
      <c r="R627" s="113"/>
      <c r="S627" s="113"/>
      <c r="T627" s="113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13"/>
      <c r="H628" s="113"/>
      <c r="K628" s="1"/>
      <c r="N628" s="1"/>
      <c r="Q628" s="1"/>
      <c r="R628" s="113"/>
      <c r="S628" s="113"/>
      <c r="T628" s="113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13"/>
      <c r="H629" s="113"/>
      <c r="K629" s="1"/>
      <c r="N629" s="1"/>
      <c r="Q629" s="1"/>
      <c r="R629" s="113"/>
      <c r="S629" s="113"/>
      <c r="T629" s="113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13"/>
      <c r="H630" s="113"/>
      <c r="K630" s="1"/>
      <c r="N630" s="1"/>
      <c r="Q630" s="1"/>
      <c r="R630" s="113"/>
      <c r="S630" s="113"/>
      <c r="T630" s="113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13"/>
      <c r="H631" s="113"/>
      <c r="K631" s="1"/>
      <c r="N631" s="1"/>
      <c r="Q631" s="1"/>
      <c r="R631" s="113"/>
      <c r="S631" s="113"/>
      <c r="T631" s="113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13"/>
      <c r="H632" s="113"/>
      <c r="K632" s="1"/>
      <c r="N632" s="1"/>
      <c r="Q632" s="1"/>
      <c r="R632" s="113"/>
      <c r="S632" s="113"/>
      <c r="T632" s="113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13"/>
      <c r="H633" s="113"/>
      <c r="K633" s="1"/>
      <c r="N633" s="1"/>
      <c r="Q633" s="1"/>
      <c r="R633" s="113"/>
      <c r="S633" s="113"/>
      <c r="T633" s="113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13"/>
      <c r="H634" s="113"/>
      <c r="K634" s="1"/>
      <c r="N634" s="1"/>
      <c r="Q634" s="1"/>
      <c r="R634" s="113"/>
      <c r="S634" s="113"/>
      <c r="T634" s="113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13"/>
      <c r="H635" s="113"/>
      <c r="K635" s="1"/>
      <c r="N635" s="1"/>
      <c r="Q635" s="1"/>
      <c r="R635" s="113"/>
      <c r="S635" s="113"/>
      <c r="T635" s="113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13"/>
      <c r="H636" s="113"/>
      <c r="K636" s="1"/>
      <c r="N636" s="1"/>
      <c r="Q636" s="1"/>
      <c r="R636" s="113"/>
      <c r="S636" s="113"/>
      <c r="T636" s="113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13"/>
      <c r="H637" s="113"/>
      <c r="K637" s="1"/>
      <c r="N637" s="1"/>
      <c r="Q637" s="1"/>
      <c r="R637" s="113"/>
      <c r="S637" s="113"/>
      <c r="T637" s="113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13"/>
      <c r="H638" s="113"/>
      <c r="K638" s="1"/>
      <c r="N638" s="1"/>
      <c r="Q638" s="1"/>
      <c r="R638" s="113"/>
      <c r="S638" s="113"/>
      <c r="T638" s="113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13"/>
      <c r="H639" s="113"/>
      <c r="K639" s="1"/>
      <c r="N639" s="1"/>
      <c r="Q639" s="1"/>
      <c r="R639" s="113"/>
      <c r="S639" s="113"/>
      <c r="T639" s="113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13"/>
      <c r="H640" s="113"/>
      <c r="K640" s="1"/>
      <c r="N640" s="1"/>
      <c r="Q640" s="1"/>
      <c r="R640" s="113"/>
      <c r="S640" s="113"/>
      <c r="T640" s="113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13"/>
      <c r="H641" s="113"/>
      <c r="K641" s="1"/>
      <c r="N641" s="1"/>
      <c r="Q641" s="1"/>
      <c r="R641" s="113"/>
      <c r="S641" s="113"/>
      <c r="T641" s="113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13"/>
      <c r="H642" s="113"/>
      <c r="K642" s="1"/>
      <c r="N642" s="1"/>
      <c r="Q642" s="1"/>
      <c r="R642" s="113"/>
      <c r="S642" s="113"/>
      <c r="T642" s="113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13"/>
      <c r="H643" s="113"/>
      <c r="K643" s="1"/>
      <c r="N643" s="1"/>
      <c r="Q643" s="1"/>
      <c r="R643" s="113"/>
      <c r="S643" s="113"/>
      <c r="T643" s="113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13"/>
      <c r="H644" s="113"/>
      <c r="K644" s="1"/>
      <c r="N644" s="1"/>
      <c r="Q644" s="1"/>
      <c r="R644" s="113"/>
      <c r="S644" s="113"/>
      <c r="T644" s="113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13"/>
      <c r="H645" s="113"/>
      <c r="K645" s="1"/>
      <c r="N645" s="1"/>
      <c r="Q645" s="1"/>
      <c r="R645" s="113"/>
      <c r="S645" s="113"/>
      <c r="T645" s="113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13"/>
      <c r="H646" s="113"/>
      <c r="K646" s="1"/>
      <c r="N646" s="1"/>
      <c r="Q646" s="1"/>
      <c r="R646" s="113"/>
      <c r="S646" s="113"/>
      <c r="T646" s="113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13"/>
      <c r="H647" s="113"/>
      <c r="K647" s="1"/>
      <c r="N647" s="1"/>
      <c r="Q647" s="1"/>
      <c r="R647" s="113"/>
      <c r="S647" s="113"/>
      <c r="T647" s="113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13"/>
      <c r="H648" s="113"/>
      <c r="K648" s="1"/>
      <c r="N648" s="1"/>
      <c r="Q648" s="1"/>
      <c r="R648" s="113"/>
      <c r="S648" s="113"/>
      <c r="T648" s="113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13"/>
      <c r="H649" s="113"/>
      <c r="K649" s="1"/>
      <c r="N649" s="1"/>
      <c r="Q649" s="1"/>
      <c r="R649" s="113"/>
      <c r="S649" s="113"/>
      <c r="T649" s="113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13"/>
      <c r="H650" s="113"/>
      <c r="K650" s="1"/>
      <c r="N650" s="1"/>
      <c r="Q650" s="1"/>
      <c r="R650" s="113"/>
      <c r="S650" s="113"/>
      <c r="T650" s="113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13"/>
      <c r="H651" s="113"/>
      <c r="K651" s="1"/>
      <c r="N651" s="1"/>
      <c r="Q651" s="1"/>
      <c r="R651" s="113"/>
      <c r="S651" s="113"/>
      <c r="T651" s="113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13"/>
      <c r="H652" s="113"/>
      <c r="K652" s="1"/>
      <c r="N652" s="1"/>
      <c r="Q652" s="1"/>
      <c r="R652" s="113"/>
      <c r="S652" s="113"/>
      <c r="T652" s="113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13"/>
      <c r="H653" s="113"/>
      <c r="K653" s="1"/>
      <c r="N653" s="1"/>
      <c r="Q653" s="1"/>
      <c r="R653" s="113"/>
      <c r="S653" s="113"/>
      <c r="T653" s="113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13"/>
      <c r="H654" s="113"/>
      <c r="K654" s="1"/>
      <c r="N654" s="1"/>
      <c r="Q654" s="1"/>
      <c r="R654" s="113"/>
      <c r="S654" s="113"/>
      <c r="T654" s="113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13"/>
      <c r="H655" s="113"/>
      <c r="K655" s="1"/>
      <c r="N655" s="1"/>
      <c r="Q655" s="1"/>
      <c r="R655" s="113"/>
      <c r="S655" s="113"/>
      <c r="T655" s="113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13"/>
      <c r="H656" s="113"/>
      <c r="K656" s="1"/>
      <c r="N656" s="1"/>
      <c r="Q656" s="1"/>
      <c r="R656" s="113"/>
      <c r="S656" s="113"/>
      <c r="T656" s="113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13"/>
      <c r="H657" s="113"/>
      <c r="K657" s="1"/>
      <c r="N657" s="1"/>
      <c r="Q657" s="1"/>
      <c r="R657" s="113"/>
      <c r="S657" s="113"/>
      <c r="T657" s="113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13"/>
      <c r="H658" s="113"/>
      <c r="K658" s="1"/>
      <c r="N658" s="1"/>
      <c r="Q658" s="1"/>
      <c r="R658" s="113"/>
      <c r="S658" s="113"/>
      <c r="T658" s="113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13"/>
      <c r="H659" s="113"/>
      <c r="K659" s="1"/>
      <c r="N659" s="1"/>
      <c r="Q659" s="1"/>
      <c r="R659" s="113"/>
      <c r="S659" s="113"/>
      <c r="T659" s="113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13"/>
      <c r="H660" s="113"/>
      <c r="K660" s="1"/>
      <c r="N660" s="1"/>
      <c r="Q660" s="1"/>
      <c r="R660" s="113"/>
      <c r="S660" s="113"/>
      <c r="T660" s="113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13"/>
      <c r="H661" s="113"/>
      <c r="K661" s="1"/>
      <c r="N661" s="1"/>
      <c r="Q661" s="1"/>
      <c r="R661" s="113"/>
      <c r="S661" s="113"/>
      <c r="T661" s="113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13"/>
      <c r="H662" s="113"/>
      <c r="K662" s="1"/>
      <c r="N662" s="1"/>
      <c r="Q662" s="1"/>
      <c r="R662" s="113"/>
      <c r="S662" s="113"/>
      <c r="T662" s="113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13"/>
      <c r="H663" s="113"/>
      <c r="K663" s="1"/>
      <c r="N663" s="1"/>
      <c r="Q663" s="1"/>
      <c r="R663" s="113"/>
      <c r="S663" s="113"/>
      <c r="T663" s="113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13"/>
      <c r="H664" s="113"/>
      <c r="K664" s="1"/>
      <c r="N664" s="1"/>
      <c r="Q664" s="1"/>
      <c r="R664" s="113"/>
      <c r="S664" s="113"/>
      <c r="T664" s="113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13"/>
      <c r="H665" s="113"/>
      <c r="K665" s="1"/>
      <c r="N665" s="1"/>
      <c r="Q665" s="1"/>
      <c r="R665" s="113"/>
      <c r="S665" s="113"/>
      <c r="T665" s="113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13"/>
      <c r="H666" s="113"/>
      <c r="K666" s="1"/>
      <c r="N666" s="1"/>
      <c r="Q666" s="1"/>
      <c r="R666" s="113"/>
      <c r="S666" s="113"/>
      <c r="T666" s="113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13"/>
      <c r="H667" s="113"/>
      <c r="K667" s="1"/>
      <c r="N667" s="1"/>
      <c r="Q667" s="1"/>
      <c r="R667" s="113"/>
      <c r="S667" s="113"/>
      <c r="T667" s="113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13"/>
      <c r="H668" s="113"/>
      <c r="K668" s="1"/>
      <c r="N668" s="1"/>
      <c r="Q668" s="1"/>
      <c r="R668" s="113"/>
      <c r="S668" s="113"/>
      <c r="T668" s="113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13"/>
      <c r="H669" s="113"/>
      <c r="K669" s="1"/>
      <c r="N669" s="1"/>
      <c r="Q669" s="1"/>
      <c r="R669" s="113"/>
      <c r="S669" s="113"/>
      <c r="T669" s="113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13"/>
      <c r="H670" s="113"/>
      <c r="K670" s="1"/>
      <c r="N670" s="1"/>
      <c r="Q670" s="1"/>
      <c r="R670" s="113"/>
      <c r="S670" s="113"/>
      <c r="T670" s="113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13"/>
      <c r="H671" s="113"/>
      <c r="K671" s="1"/>
      <c r="N671" s="1"/>
      <c r="Q671" s="1"/>
      <c r="R671" s="113"/>
      <c r="S671" s="113"/>
      <c r="T671" s="113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13"/>
      <c r="H672" s="113"/>
      <c r="K672" s="1"/>
      <c r="N672" s="1"/>
      <c r="Q672" s="1"/>
      <c r="R672" s="113"/>
      <c r="S672" s="113"/>
      <c r="T672" s="113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13"/>
      <c r="H673" s="113"/>
      <c r="K673" s="1"/>
      <c r="N673" s="1"/>
      <c r="Q673" s="1"/>
      <c r="R673" s="113"/>
      <c r="S673" s="113"/>
      <c r="T673" s="113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13"/>
      <c r="H674" s="113"/>
      <c r="K674" s="1"/>
      <c r="N674" s="1"/>
      <c r="Q674" s="1"/>
      <c r="R674" s="113"/>
      <c r="S674" s="113"/>
      <c r="T674" s="113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13"/>
      <c r="H675" s="113"/>
      <c r="K675" s="1"/>
      <c r="N675" s="1"/>
      <c r="Q675" s="1"/>
      <c r="R675" s="113"/>
      <c r="S675" s="113"/>
      <c r="T675" s="113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13"/>
      <c r="H676" s="113"/>
      <c r="K676" s="1"/>
      <c r="N676" s="1"/>
      <c r="Q676" s="1"/>
      <c r="R676" s="113"/>
      <c r="S676" s="113"/>
      <c r="T676" s="113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13"/>
      <c r="H677" s="113"/>
      <c r="K677" s="1"/>
      <c r="N677" s="1"/>
      <c r="Q677" s="1"/>
      <c r="R677" s="113"/>
      <c r="S677" s="113"/>
      <c r="T677" s="113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13"/>
      <c r="H678" s="113"/>
      <c r="K678" s="1"/>
      <c r="N678" s="1"/>
      <c r="Q678" s="1"/>
      <c r="R678" s="113"/>
      <c r="S678" s="113"/>
      <c r="T678" s="113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13"/>
      <c r="H679" s="113"/>
      <c r="K679" s="1"/>
      <c r="N679" s="1"/>
      <c r="Q679" s="1"/>
      <c r="R679" s="113"/>
      <c r="S679" s="113"/>
      <c r="T679" s="113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13"/>
      <c r="H680" s="113"/>
      <c r="K680" s="1"/>
      <c r="N680" s="1"/>
      <c r="Q680" s="1"/>
      <c r="R680" s="113"/>
      <c r="S680" s="113"/>
      <c r="T680" s="113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13"/>
      <c r="H681" s="113"/>
      <c r="K681" s="1"/>
      <c r="N681" s="1"/>
      <c r="Q681" s="1"/>
      <c r="R681" s="113"/>
      <c r="S681" s="113"/>
      <c r="T681" s="113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13"/>
      <c r="H682" s="113"/>
      <c r="K682" s="1"/>
      <c r="N682" s="1"/>
      <c r="Q682" s="1"/>
      <c r="R682" s="113"/>
      <c r="S682" s="113"/>
      <c r="T682" s="113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13"/>
      <c r="H683" s="113"/>
      <c r="K683" s="1"/>
      <c r="N683" s="1"/>
      <c r="Q683" s="1"/>
      <c r="R683" s="113"/>
      <c r="S683" s="113"/>
      <c r="T683" s="113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13"/>
      <c r="H684" s="113"/>
      <c r="K684" s="1"/>
      <c r="N684" s="1"/>
      <c r="Q684" s="1"/>
      <c r="R684" s="113"/>
      <c r="S684" s="113"/>
      <c r="T684" s="113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13"/>
      <c r="H685" s="113"/>
      <c r="K685" s="1"/>
      <c r="N685" s="1"/>
      <c r="Q685" s="1"/>
      <c r="R685" s="113"/>
      <c r="S685" s="113"/>
      <c r="T685" s="113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13"/>
      <c r="H686" s="113"/>
      <c r="K686" s="1"/>
      <c r="N686" s="1"/>
      <c r="Q686" s="1"/>
      <c r="R686" s="113"/>
      <c r="S686" s="113"/>
      <c r="T686" s="113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13"/>
      <c r="H687" s="113"/>
      <c r="K687" s="1"/>
      <c r="N687" s="1"/>
      <c r="Q687" s="1"/>
      <c r="R687" s="113"/>
      <c r="S687" s="113"/>
      <c r="T687" s="113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13"/>
      <c r="H688" s="113"/>
      <c r="K688" s="1"/>
      <c r="N688" s="1"/>
      <c r="Q688" s="1"/>
      <c r="R688" s="113"/>
      <c r="S688" s="113"/>
      <c r="T688" s="113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13"/>
      <c r="H689" s="113"/>
      <c r="K689" s="1"/>
      <c r="N689" s="1"/>
      <c r="Q689" s="1"/>
      <c r="R689" s="113"/>
      <c r="S689" s="113"/>
      <c r="T689" s="113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13"/>
      <c r="H690" s="113"/>
      <c r="K690" s="1"/>
      <c r="N690" s="1"/>
      <c r="Q690" s="1"/>
      <c r="R690" s="113"/>
      <c r="S690" s="113"/>
      <c r="T690" s="113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13"/>
      <c r="H691" s="113"/>
      <c r="K691" s="1"/>
      <c r="N691" s="1"/>
      <c r="Q691" s="1"/>
      <c r="R691" s="113"/>
      <c r="S691" s="113"/>
      <c r="T691" s="113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13"/>
      <c r="H692" s="113"/>
      <c r="K692" s="1"/>
      <c r="N692" s="1"/>
      <c r="Q692" s="1"/>
      <c r="R692" s="113"/>
      <c r="S692" s="113"/>
      <c r="T692" s="113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13"/>
      <c r="H693" s="113"/>
      <c r="K693" s="1"/>
      <c r="N693" s="1"/>
      <c r="Q693" s="1"/>
      <c r="R693" s="113"/>
      <c r="S693" s="113"/>
      <c r="T693" s="113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13"/>
      <c r="H694" s="113"/>
      <c r="K694" s="1"/>
      <c r="N694" s="1"/>
      <c r="Q694" s="1"/>
      <c r="R694" s="113"/>
      <c r="S694" s="113"/>
      <c r="T694" s="113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13"/>
      <c r="H695" s="113"/>
      <c r="K695" s="1"/>
      <c r="N695" s="1"/>
      <c r="Q695" s="1"/>
      <c r="R695" s="113"/>
      <c r="S695" s="113"/>
      <c r="T695" s="113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13"/>
      <c r="H696" s="113"/>
      <c r="K696" s="1"/>
      <c r="N696" s="1"/>
      <c r="Q696" s="1"/>
      <c r="R696" s="113"/>
      <c r="S696" s="113"/>
      <c r="T696" s="113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13"/>
      <c r="H697" s="113"/>
      <c r="K697" s="1"/>
      <c r="N697" s="1"/>
      <c r="Q697" s="1"/>
      <c r="R697" s="113"/>
      <c r="S697" s="113"/>
      <c r="T697" s="113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13"/>
      <c r="H698" s="113"/>
      <c r="K698" s="1"/>
      <c r="N698" s="1"/>
      <c r="Q698" s="1"/>
      <c r="R698" s="113"/>
      <c r="S698" s="113"/>
      <c r="T698" s="113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13"/>
      <c r="H699" s="113"/>
      <c r="K699" s="1"/>
      <c r="N699" s="1"/>
      <c r="Q699" s="1"/>
      <c r="R699" s="113"/>
      <c r="S699" s="113"/>
      <c r="T699" s="113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13"/>
      <c r="H700" s="113"/>
      <c r="K700" s="1"/>
      <c r="N700" s="1"/>
      <c r="Q700" s="1"/>
      <c r="R700" s="113"/>
      <c r="S700" s="113"/>
      <c r="T700" s="113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13"/>
      <c r="H701" s="113"/>
      <c r="K701" s="1"/>
      <c r="N701" s="1"/>
      <c r="Q701" s="1"/>
      <c r="R701" s="113"/>
      <c r="S701" s="113"/>
      <c r="T701" s="113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13"/>
      <c r="H702" s="113"/>
      <c r="K702" s="1"/>
      <c r="N702" s="1"/>
      <c r="Q702" s="1"/>
      <c r="R702" s="113"/>
      <c r="S702" s="113"/>
      <c r="T702" s="113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13"/>
      <c r="H703" s="113"/>
      <c r="K703" s="1"/>
      <c r="N703" s="1"/>
      <c r="Q703" s="1"/>
      <c r="R703" s="113"/>
      <c r="S703" s="113"/>
      <c r="T703" s="113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13"/>
      <c r="H704" s="113"/>
      <c r="K704" s="1"/>
      <c r="N704" s="1"/>
      <c r="Q704" s="1"/>
      <c r="R704" s="113"/>
      <c r="S704" s="113"/>
      <c r="T704" s="113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13"/>
      <c r="H705" s="113"/>
      <c r="K705" s="1"/>
      <c r="N705" s="1"/>
      <c r="Q705" s="1"/>
      <c r="R705" s="113"/>
      <c r="S705" s="113"/>
      <c r="T705" s="113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13"/>
      <c r="H706" s="113"/>
      <c r="K706" s="1"/>
      <c r="N706" s="1"/>
      <c r="Q706" s="1"/>
      <c r="R706" s="113"/>
      <c r="S706" s="113"/>
      <c r="T706" s="113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13"/>
      <c r="H707" s="113"/>
      <c r="K707" s="1"/>
      <c r="N707" s="1"/>
      <c r="Q707" s="1"/>
      <c r="R707" s="113"/>
      <c r="S707" s="113"/>
      <c r="T707" s="113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13"/>
      <c r="H708" s="113"/>
      <c r="K708" s="1"/>
      <c r="N708" s="1"/>
      <c r="Q708" s="1"/>
      <c r="R708" s="113"/>
      <c r="S708" s="113"/>
      <c r="T708" s="113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13"/>
      <c r="H709" s="113"/>
      <c r="K709" s="1"/>
      <c r="N709" s="1"/>
      <c r="Q709" s="1"/>
      <c r="R709" s="113"/>
      <c r="S709" s="113"/>
      <c r="T709" s="113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13"/>
      <c r="H710" s="113"/>
      <c r="K710" s="1"/>
      <c r="N710" s="1"/>
      <c r="Q710" s="1"/>
      <c r="R710" s="113"/>
      <c r="S710" s="113"/>
      <c r="T710" s="113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13"/>
      <c r="H711" s="113"/>
      <c r="K711" s="1"/>
      <c r="N711" s="1"/>
      <c r="Q711" s="1"/>
      <c r="R711" s="113"/>
      <c r="S711" s="113"/>
      <c r="T711" s="113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13"/>
      <c r="H712" s="113"/>
      <c r="K712" s="1"/>
      <c r="N712" s="1"/>
      <c r="Q712" s="1"/>
      <c r="R712" s="113"/>
      <c r="S712" s="113"/>
      <c r="T712" s="113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13"/>
      <c r="H713" s="113"/>
      <c r="K713" s="1"/>
      <c r="N713" s="1"/>
      <c r="Q713" s="1"/>
      <c r="R713" s="113"/>
      <c r="S713" s="113"/>
      <c r="T713" s="113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13"/>
      <c r="H714" s="113"/>
      <c r="K714" s="1"/>
      <c r="N714" s="1"/>
      <c r="Q714" s="1"/>
      <c r="R714" s="113"/>
      <c r="S714" s="113"/>
      <c r="T714" s="113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13"/>
      <c r="H715" s="113"/>
      <c r="K715" s="1"/>
      <c r="N715" s="1"/>
      <c r="Q715" s="1"/>
      <c r="R715" s="113"/>
      <c r="S715" s="113"/>
      <c r="T715" s="113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13"/>
      <c r="H716" s="113"/>
      <c r="K716" s="1"/>
      <c r="N716" s="1"/>
      <c r="Q716" s="1"/>
      <c r="R716" s="113"/>
      <c r="S716" s="113"/>
      <c r="T716" s="113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13"/>
      <c r="H717" s="113"/>
      <c r="K717" s="1"/>
      <c r="N717" s="1"/>
      <c r="Q717" s="1"/>
      <c r="R717" s="113"/>
      <c r="S717" s="113"/>
      <c r="T717" s="113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13"/>
      <c r="H718" s="113"/>
      <c r="K718" s="1"/>
      <c r="N718" s="1"/>
      <c r="Q718" s="1"/>
      <c r="R718" s="113"/>
      <c r="S718" s="113"/>
      <c r="T718" s="113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13"/>
      <c r="H719" s="113"/>
      <c r="K719" s="1"/>
      <c r="N719" s="1"/>
      <c r="Q719" s="1"/>
      <c r="R719" s="113"/>
      <c r="S719" s="113"/>
      <c r="T719" s="113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13"/>
      <c r="H720" s="113"/>
      <c r="K720" s="1"/>
      <c r="N720" s="1"/>
      <c r="Q720" s="1"/>
      <c r="R720" s="113"/>
      <c r="S720" s="113"/>
      <c r="T720" s="113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13"/>
      <c r="H721" s="113"/>
      <c r="K721" s="1"/>
      <c r="N721" s="1"/>
      <c r="Q721" s="1"/>
      <c r="R721" s="113"/>
      <c r="S721" s="113"/>
      <c r="T721" s="113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13"/>
      <c r="H722" s="113"/>
      <c r="K722" s="1"/>
      <c r="N722" s="1"/>
      <c r="Q722" s="1"/>
      <c r="R722" s="113"/>
      <c r="S722" s="113"/>
      <c r="T722" s="113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13"/>
      <c r="H723" s="113"/>
      <c r="K723" s="1"/>
      <c r="N723" s="1"/>
      <c r="Q723" s="1"/>
      <c r="R723" s="113"/>
      <c r="S723" s="113"/>
      <c r="T723" s="113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13"/>
      <c r="H724" s="113"/>
      <c r="K724" s="1"/>
      <c r="N724" s="1"/>
      <c r="Q724" s="1"/>
      <c r="R724" s="113"/>
      <c r="S724" s="113"/>
      <c r="T724" s="113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13"/>
      <c r="H725" s="113"/>
      <c r="K725" s="1"/>
      <c r="N725" s="1"/>
      <c r="Q725" s="1"/>
      <c r="R725" s="113"/>
      <c r="S725" s="113"/>
      <c r="T725" s="113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13"/>
      <c r="H726" s="113"/>
      <c r="K726" s="1"/>
      <c r="N726" s="1"/>
      <c r="Q726" s="1"/>
      <c r="R726" s="113"/>
      <c r="S726" s="113"/>
      <c r="T726" s="113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13"/>
      <c r="H727" s="113"/>
      <c r="K727" s="1"/>
      <c r="N727" s="1"/>
      <c r="Q727" s="1"/>
      <c r="R727" s="113"/>
      <c r="S727" s="113"/>
      <c r="T727" s="113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13"/>
      <c r="H728" s="113"/>
      <c r="K728" s="1"/>
      <c r="N728" s="1"/>
      <c r="Q728" s="1"/>
      <c r="R728" s="113"/>
      <c r="S728" s="113"/>
      <c r="T728" s="113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13"/>
      <c r="H729" s="113"/>
      <c r="K729" s="1"/>
      <c r="N729" s="1"/>
      <c r="Q729" s="1"/>
      <c r="R729" s="113"/>
      <c r="S729" s="113"/>
      <c r="T729" s="113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13"/>
      <c r="H730" s="113"/>
      <c r="K730" s="1"/>
      <c r="N730" s="1"/>
      <c r="Q730" s="1"/>
      <c r="R730" s="113"/>
      <c r="S730" s="113"/>
      <c r="T730" s="113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13"/>
      <c r="H731" s="113"/>
      <c r="K731" s="1"/>
      <c r="N731" s="1"/>
      <c r="Q731" s="1"/>
      <c r="R731" s="113"/>
      <c r="S731" s="113"/>
      <c r="T731" s="113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13"/>
      <c r="H732" s="113"/>
      <c r="K732" s="1"/>
      <c r="N732" s="1"/>
      <c r="Q732" s="1"/>
      <c r="R732" s="113"/>
      <c r="S732" s="113"/>
      <c r="T732" s="113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13"/>
      <c r="H733" s="113"/>
      <c r="K733" s="1"/>
      <c r="N733" s="1"/>
      <c r="Q733" s="1"/>
      <c r="R733" s="113"/>
      <c r="S733" s="113"/>
      <c r="T733" s="113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13"/>
      <c r="H734" s="113"/>
      <c r="K734" s="1"/>
      <c r="N734" s="1"/>
      <c r="Q734" s="1"/>
      <c r="R734" s="113"/>
      <c r="S734" s="113"/>
      <c r="T734" s="113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13"/>
      <c r="H735" s="113"/>
      <c r="K735" s="1"/>
      <c r="N735" s="1"/>
      <c r="Q735" s="1"/>
      <c r="R735" s="113"/>
      <c r="S735" s="113"/>
      <c r="T735" s="113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13"/>
      <c r="H736" s="113"/>
      <c r="K736" s="1"/>
      <c r="N736" s="1"/>
      <c r="Q736" s="1"/>
      <c r="R736" s="113"/>
      <c r="S736" s="113"/>
      <c r="T736" s="113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13"/>
      <c r="H737" s="113"/>
      <c r="K737" s="1"/>
      <c r="N737" s="1"/>
      <c r="Q737" s="1"/>
      <c r="R737" s="113"/>
      <c r="S737" s="113"/>
      <c r="T737" s="113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13"/>
      <c r="H738" s="113"/>
      <c r="K738" s="1"/>
      <c r="N738" s="1"/>
      <c r="Q738" s="1"/>
      <c r="R738" s="113"/>
      <c r="S738" s="113"/>
      <c r="T738" s="113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13"/>
      <c r="H739" s="113"/>
      <c r="K739" s="1"/>
      <c r="N739" s="1"/>
      <c r="Q739" s="1"/>
      <c r="R739" s="113"/>
      <c r="S739" s="113"/>
      <c r="T739" s="113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13"/>
      <c r="H740" s="113"/>
      <c r="K740" s="1"/>
      <c r="N740" s="1"/>
      <c r="Q740" s="1"/>
      <c r="R740" s="113"/>
      <c r="S740" s="113"/>
      <c r="T740" s="113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13"/>
      <c r="H741" s="113"/>
      <c r="K741" s="1"/>
      <c r="N741" s="1"/>
      <c r="Q741" s="1"/>
      <c r="R741" s="113"/>
      <c r="S741" s="113"/>
      <c r="T741" s="113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13"/>
      <c r="H742" s="113"/>
      <c r="K742" s="1"/>
      <c r="N742" s="1"/>
      <c r="Q742" s="1"/>
      <c r="R742" s="113"/>
      <c r="S742" s="113"/>
      <c r="T742" s="113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13"/>
      <c r="H743" s="113"/>
      <c r="K743" s="1"/>
      <c r="N743" s="1"/>
      <c r="Q743" s="1"/>
      <c r="R743" s="113"/>
      <c r="S743" s="113"/>
      <c r="T743" s="113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13"/>
      <c r="H744" s="113"/>
      <c r="K744" s="1"/>
      <c r="N744" s="1"/>
      <c r="Q744" s="1"/>
      <c r="R744" s="113"/>
      <c r="S744" s="113"/>
      <c r="T744" s="113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13"/>
      <c r="H745" s="113"/>
      <c r="K745" s="1"/>
      <c r="N745" s="1"/>
      <c r="Q745" s="1"/>
      <c r="R745" s="113"/>
      <c r="S745" s="113"/>
      <c r="T745" s="113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13"/>
      <c r="H746" s="113"/>
      <c r="K746" s="1"/>
      <c r="N746" s="1"/>
      <c r="Q746" s="1"/>
      <c r="R746" s="113"/>
      <c r="S746" s="113"/>
      <c r="T746" s="113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13"/>
      <c r="H747" s="113"/>
      <c r="K747" s="1"/>
      <c r="N747" s="1"/>
      <c r="Q747" s="1"/>
      <c r="R747" s="113"/>
      <c r="S747" s="113"/>
      <c r="T747" s="113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13"/>
      <c r="H748" s="113"/>
      <c r="K748" s="1"/>
      <c r="N748" s="1"/>
      <c r="Q748" s="1"/>
      <c r="R748" s="113"/>
      <c r="S748" s="113"/>
      <c r="T748" s="113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13"/>
      <c r="H749" s="113"/>
      <c r="K749" s="1"/>
      <c r="N749" s="1"/>
      <c r="Q749" s="1"/>
      <c r="R749" s="113"/>
      <c r="S749" s="113"/>
      <c r="T749" s="113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13"/>
      <c r="H750" s="113"/>
      <c r="K750" s="1"/>
      <c r="N750" s="1"/>
      <c r="Q750" s="1"/>
      <c r="R750" s="113"/>
      <c r="S750" s="113"/>
      <c r="T750" s="113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13"/>
      <c r="H751" s="113"/>
      <c r="K751" s="1"/>
      <c r="N751" s="1"/>
      <c r="Q751" s="1"/>
      <c r="R751" s="113"/>
      <c r="S751" s="113"/>
      <c r="T751" s="113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13"/>
      <c r="H752" s="113"/>
      <c r="K752" s="1"/>
      <c r="N752" s="1"/>
      <c r="Q752" s="1"/>
      <c r="R752" s="113"/>
      <c r="S752" s="113"/>
      <c r="T752" s="113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13"/>
      <c r="H753" s="113"/>
      <c r="K753" s="1"/>
      <c r="N753" s="1"/>
      <c r="Q753" s="1"/>
      <c r="R753" s="113"/>
      <c r="S753" s="113"/>
      <c r="T753" s="113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13"/>
      <c r="H754" s="113"/>
      <c r="K754" s="1"/>
      <c r="N754" s="1"/>
      <c r="Q754" s="1"/>
      <c r="R754" s="113"/>
      <c r="S754" s="113"/>
      <c r="T754" s="113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13"/>
      <c r="H755" s="113"/>
      <c r="K755" s="1"/>
      <c r="N755" s="1"/>
      <c r="Q755" s="1"/>
      <c r="R755" s="113"/>
      <c r="S755" s="113"/>
      <c r="T755" s="113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13"/>
      <c r="H756" s="113"/>
      <c r="K756" s="1"/>
      <c r="N756" s="1"/>
      <c r="Q756" s="1"/>
      <c r="R756" s="113"/>
      <c r="S756" s="113"/>
      <c r="T756" s="113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13"/>
      <c r="H757" s="113"/>
      <c r="K757" s="1"/>
      <c r="N757" s="1"/>
      <c r="Q757" s="1"/>
      <c r="R757" s="113"/>
      <c r="S757" s="113"/>
      <c r="T757" s="113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13"/>
      <c r="H758" s="113"/>
      <c r="K758" s="1"/>
      <c r="N758" s="1"/>
      <c r="Q758" s="1"/>
      <c r="R758" s="113"/>
      <c r="S758" s="113"/>
      <c r="T758" s="113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13"/>
      <c r="H759" s="113"/>
      <c r="K759" s="1"/>
      <c r="N759" s="1"/>
      <c r="Q759" s="1"/>
      <c r="R759" s="113"/>
      <c r="S759" s="113"/>
      <c r="T759" s="113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13"/>
      <c r="H760" s="113"/>
      <c r="K760" s="1"/>
      <c r="N760" s="1"/>
      <c r="Q760" s="1"/>
      <c r="R760" s="113"/>
      <c r="S760" s="113"/>
      <c r="T760" s="113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13"/>
      <c r="H761" s="113"/>
      <c r="K761" s="1"/>
      <c r="N761" s="1"/>
      <c r="Q761" s="1"/>
      <c r="R761" s="113"/>
      <c r="S761" s="113"/>
      <c r="T761" s="113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13"/>
      <c r="H762" s="113"/>
      <c r="K762" s="1"/>
      <c r="N762" s="1"/>
      <c r="Q762" s="1"/>
      <c r="R762" s="113"/>
      <c r="S762" s="113"/>
      <c r="T762" s="113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13"/>
      <c r="H763" s="113"/>
      <c r="K763" s="1"/>
      <c r="N763" s="1"/>
      <c r="Q763" s="1"/>
      <c r="R763" s="113"/>
      <c r="S763" s="113"/>
      <c r="T763" s="113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13"/>
      <c r="H764" s="113"/>
      <c r="K764" s="1"/>
      <c r="N764" s="1"/>
      <c r="Q764" s="1"/>
      <c r="R764" s="113"/>
      <c r="S764" s="113"/>
      <c r="T764" s="113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13"/>
      <c r="H765" s="113"/>
      <c r="K765" s="1"/>
      <c r="N765" s="1"/>
      <c r="Q765" s="1"/>
      <c r="R765" s="113"/>
      <c r="S765" s="113"/>
      <c r="T765" s="113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13"/>
      <c r="H766" s="113"/>
      <c r="K766" s="1"/>
      <c r="N766" s="1"/>
      <c r="Q766" s="1"/>
      <c r="R766" s="113"/>
      <c r="S766" s="113"/>
      <c r="T766" s="113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13"/>
      <c r="H767" s="113"/>
      <c r="K767" s="1"/>
      <c r="N767" s="1"/>
      <c r="Q767" s="1"/>
      <c r="R767" s="113"/>
      <c r="S767" s="113"/>
      <c r="T767" s="113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13"/>
      <c r="H768" s="113"/>
      <c r="K768" s="1"/>
      <c r="N768" s="1"/>
      <c r="Q768" s="1"/>
      <c r="R768" s="113"/>
      <c r="S768" s="113"/>
      <c r="T768" s="113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13"/>
      <c r="H769" s="113"/>
      <c r="K769" s="1"/>
      <c r="N769" s="1"/>
      <c r="Q769" s="1"/>
      <c r="R769" s="113"/>
      <c r="S769" s="113"/>
      <c r="T769" s="113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13"/>
      <c r="H770" s="113"/>
      <c r="K770" s="1"/>
      <c r="N770" s="1"/>
      <c r="Q770" s="1"/>
      <c r="R770" s="113"/>
      <c r="S770" s="113"/>
      <c r="T770" s="113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13"/>
      <c r="H771" s="113"/>
      <c r="K771" s="1"/>
      <c r="N771" s="1"/>
      <c r="Q771" s="1"/>
      <c r="R771" s="113"/>
      <c r="S771" s="113"/>
      <c r="T771" s="113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13"/>
      <c r="H772" s="113"/>
      <c r="K772" s="1"/>
      <c r="N772" s="1"/>
      <c r="Q772" s="1"/>
      <c r="R772" s="113"/>
      <c r="S772" s="113"/>
      <c r="T772" s="113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13"/>
      <c r="H773" s="113"/>
      <c r="K773" s="1"/>
      <c r="N773" s="1"/>
      <c r="Q773" s="1"/>
      <c r="R773" s="113"/>
      <c r="S773" s="113"/>
      <c r="T773" s="113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13"/>
      <c r="H774" s="113"/>
      <c r="K774" s="1"/>
      <c r="N774" s="1"/>
      <c r="Q774" s="1"/>
      <c r="R774" s="113"/>
      <c r="S774" s="113"/>
      <c r="T774" s="113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13"/>
      <c r="H775" s="113"/>
      <c r="K775" s="1"/>
      <c r="N775" s="1"/>
      <c r="Q775" s="1"/>
      <c r="R775" s="113"/>
      <c r="S775" s="113"/>
      <c r="T775" s="113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13"/>
      <c r="H776" s="113"/>
      <c r="K776" s="1"/>
      <c r="N776" s="1"/>
      <c r="Q776" s="1"/>
      <c r="R776" s="113"/>
      <c r="S776" s="113"/>
      <c r="T776" s="113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13"/>
      <c r="H777" s="113"/>
      <c r="K777" s="1"/>
      <c r="N777" s="1"/>
      <c r="Q777" s="1"/>
      <c r="R777" s="113"/>
      <c r="S777" s="113"/>
      <c r="T777" s="113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13"/>
      <c r="H778" s="113"/>
      <c r="K778" s="1"/>
      <c r="N778" s="1"/>
      <c r="Q778" s="1"/>
      <c r="R778" s="113"/>
      <c r="S778" s="113"/>
      <c r="T778" s="113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13"/>
      <c r="H779" s="113"/>
      <c r="K779" s="1"/>
      <c r="N779" s="1"/>
      <c r="Q779" s="1"/>
      <c r="R779" s="113"/>
      <c r="S779" s="113"/>
      <c r="T779" s="113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13"/>
      <c r="H780" s="113"/>
      <c r="K780" s="1"/>
      <c r="N780" s="1"/>
      <c r="Q780" s="1"/>
      <c r="R780" s="113"/>
      <c r="S780" s="113"/>
      <c r="T780" s="113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13"/>
      <c r="H781" s="113"/>
      <c r="K781" s="1"/>
      <c r="N781" s="1"/>
      <c r="Q781" s="1"/>
      <c r="R781" s="113"/>
      <c r="S781" s="113"/>
      <c r="T781" s="113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13"/>
      <c r="H782" s="113"/>
      <c r="K782" s="1"/>
      <c r="N782" s="1"/>
      <c r="Q782" s="1"/>
      <c r="R782" s="113"/>
      <c r="S782" s="113"/>
      <c r="T782" s="113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13"/>
      <c r="H783" s="113"/>
      <c r="K783" s="1"/>
      <c r="N783" s="1"/>
      <c r="Q783" s="1"/>
      <c r="R783" s="113"/>
      <c r="S783" s="113"/>
      <c r="T783" s="113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13"/>
      <c r="H784" s="113"/>
      <c r="K784" s="1"/>
      <c r="N784" s="1"/>
      <c r="Q784" s="1"/>
      <c r="R784" s="113"/>
      <c r="S784" s="113"/>
      <c r="T784" s="113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13"/>
      <c r="H785" s="113"/>
      <c r="K785" s="1"/>
      <c r="N785" s="1"/>
      <c r="Q785" s="1"/>
      <c r="R785" s="113"/>
      <c r="S785" s="113"/>
      <c r="T785" s="113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13"/>
      <c r="H786" s="113"/>
      <c r="K786" s="1"/>
      <c r="N786" s="1"/>
      <c r="Q786" s="1"/>
      <c r="R786" s="113"/>
      <c r="S786" s="113"/>
      <c r="T786" s="113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13"/>
      <c r="H787" s="113"/>
      <c r="K787" s="1"/>
      <c r="N787" s="1"/>
      <c r="Q787" s="1"/>
      <c r="R787" s="113"/>
      <c r="S787" s="113"/>
      <c r="T787" s="113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13"/>
      <c r="H788" s="113"/>
      <c r="K788" s="1"/>
      <c r="N788" s="1"/>
      <c r="Q788" s="1"/>
      <c r="R788" s="113"/>
      <c r="S788" s="113"/>
      <c r="T788" s="113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13"/>
      <c r="H789" s="113"/>
      <c r="K789" s="1"/>
      <c r="N789" s="1"/>
      <c r="Q789" s="1"/>
      <c r="R789" s="113"/>
      <c r="S789" s="113"/>
      <c r="T789" s="113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13"/>
      <c r="H790" s="113"/>
      <c r="K790" s="1"/>
      <c r="N790" s="1"/>
      <c r="Q790" s="1"/>
      <c r="R790" s="113"/>
      <c r="S790" s="113"/>
      <c r="T790" s="113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13"/>
      <c r="H791" s="113"/>
      <c r="K791" s="1"/>
      <c r="N791" s="1"/>
      <c r="Q791" s="1"/>
      <c r="R791" s="113"/>
      <c r="S791" s="113"/>
      <c r="T791" s="113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13"/>
      <c r="H792" s="113"/>
      <c r="K792" s="1"/>
      <c r="N792" s="1"/>
      <c r="Q792" s="1"/>
      <c r="R792" s="113"/>
      <c r="S792" s="113"/>
      <c r="T792" s="113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13"/>
      <c r="H793" s="113"/>
      <c r="K793" s="1"/>
      <c r="N793" s="1"/>
      <c r="Q793" s="1"/>
      <c r="R793" s="113"/>
      <c r="S793" s="113"/>
      <c r="T793" s="113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13"/>
      <c r="H794" s="113"/>
      <c r="K794" s="1"/>
      <c r="N794" s="1"/>
      <c r="Q794" s="1"/>
      <c r="R794" s="113"/>
      <c r="S794" s="113"/>
      <c r="T794" s="113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13"/>
      <c r="H795" s="113"/>
      <c r="K795" s="1"/>
      <c r="N795" s="1"/>
      <c r="Q795" s="1"/>
      <c r="R795" s="113"/>
      <c r="S795" s="113"/>
      <c r="T795" s="113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13"/>
      <c r="H796" s="113"/>
      <c r="K796" s="1"/>
      <c r="N796" s="1"/>
      <c r="Q796" s="1"/>
      <c r="R796" s="113"/>
      <c r="S796" s="113"/>
      <c r="T796" s="113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13"/>
      <c r="H797" s="113"/>
      <c r="K797" s="1"/>
      <c r="N797" s="1"/>
      <c r="Q797" s="1"/>
      <c r="R797" s="113"/>
      <c r="S797" s="113"/>
      <c r="T797" s="113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13"/>
      <c r="H798" s="113"/>
      <c r="K798" s="1"/>
      <c r="N798" s="1"/>
      <c r="Q798" s="1"/>
      <c r="R798" s="113"/>
      <c r="S798" s="113"/>
      <c r="T798" s="113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13"/>
      <c r="H799" s="113"/>
      <c r="K799" s="1"/>
      <c r="N799" s="1"/>
      <c r="Q799" s="1"/>
      <c r="R799" s="113"/>
      <c r="S799" s="113"/>
      <c r="T799" s="113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13"/>
      <c r="H800" s="113"/>
      <c r="K800" s="1"/>
      <c r="N800" s="1"/>
      <c r="Q800" s="1"/>
      <c r="R800" s="113"/>
      <c r="S800" s="113"/>
      <c r="T800" s="113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13"/>
      <c r="H801" s="113"/>
      <c r="K801" s="1"/>
      <c r="N801" s="1"/>
      <c r="Q801" s="1"/>
      <c r="R801" s="113"/>
      <c r="S801" s="113"/>
      <c r="T801" s="113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13"/>
      <c r="H802" s="113"/>
      <c r="K802" s="1"/>
      <c r="N802" s="1"/>
      <c r="Q802" s="1"/>
      <c r="R802" s="113"/>
      <c r="S802" s="113"/>
      <c r="T802" s="113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13"/>
      <c r="H803" s="113"/>
      <c r="K803" s="1"/>
      <c r="N803" s="1"/>
      <c r="Q803" s="1"/>
      <c r="R803" s="113"/>
      <c r="S803" s="113"/>
      <c r="T803" s="113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13"/>
      <c r="H804" s="113"/>
      <c r="K804" s="1"/>
      <c r="N804" s="1"/>
      <c r="Q804" s="1"/>
      <c r="R804" s="113"/>
      <c r="S804" s="113"/>
      <c r="T804" s="113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13"/>
      <c r="H805" s="113"/>
      <c r="K805" s="1"/>
      <c r="N805" s="1"/>
      <c r="Q805" s="1"/>
      <c r="R805" s="113"/>
      <c r="S805" s="113"/>
      <c r="T805" s="113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13"/>
      <c r="H806" s="113"/>
      <c r="K806" s="1"/>
      <c r="N806" s="1"/>
      <c r="Q806" s="1"/>
      <c r="R806" s="113"/>
      <c r="S806" s="113"/>
      <c r="T806" s="113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13"/>
      <c r="H807" s="113"/>
      <c r="K807" s="1"/>
      <c r="N807" s="1"/>
      <c r="Q807" s="1"/>
      <c r="R807" s="113"/>
      <c r="S807" s="113"/>
      <c r="T807" s="113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13"/>
      <c r="H808" s="113"/>
      <c r="K808" s="1"/>
      <c r="N808" s="1"/>
      <c r="Q808" s="1"/>
      <c r="R808" s="113"/>
      <c r="S808" s="113"/>
      <c r="T808" s="113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13"/>
      <c r="H809" s="113"/>
      <c r="K809" s="1"/>
      <c r="N809" s="1"/>
      <c r="Q809" s="1"/>
      <c r="R809" s="113"/>
      <c r="S809" s="113"/>
      <c r="T809" s="113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13"/>
      <c r="H810" s="113"/>
      <c r="K810" s="1"/>
      <c r="N810" s="1"/>
      <c r="Q810" s="1"/>
      <c r="R810" s="113"/>
      <c r="S810" s="113"/>
      <c r="T810" s="113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13"/>
      <c r="H811" s="113"/>
      <c r="K811" s="1"/>
      <c r="N811" s="1"/>
      <c r="Q811" s="1"/>
      <c r="R811" s="113"/>
      <c r="S811" s="113"/>
      <c r="T811" s="113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13"/>
      <c r="H812" s="113"/>
      <c r="K812" s="1"/>
      <c r="N812" s="1"/>
      <c r="Q812" s="1"/>
      <c r="R812" s="113"/>
      <c r="S812" s="113"/>
      <c r="T812" s="113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13"/>
      <c r="H813" s="113"/>
      <c r="K813" s="1"/>
      <c r="N813" s="1"/>
      <c r="Q813" s="1"/>
      <c r="R813" s="113"/>
      <c r="S813" s="113"/>
      <c r="T813" s="113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13"/>
      <c r="H814" s="113"/>
      <c r="K814" s="1"/>
      <c r="N814" s="1"/>
      <c r="Q814" s="1"/>
      <c r="R814" s="113"/>
      <c r="S814" s="113"/>
      <c r="T814" s="113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13"/>
      <c r="H815" s="113"/>
      <c r="K815" s="1"/>
      <c r="N815" s="1"/>
      <c r="Q815" s="1"/>
      <c r="R815" s="113"/>
      <c r="S815" s="113"/>
      <c r="T815" s="113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13"/>
      <c r="H816" s="113"/>
      <c r="K816" s="1"/>
      <c r="N816" s="1"/>
      <c r="Q816" s="1"/>
      <c r="R816" s="113"/>
      <c r="S816" s="113"/>
      <c r="T816" s="113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13"/>
      <c r="H817" s="113"/>
      <c r="K817" s="1"/>
      <c r="N817" s="1"/>
      <c r="Q817" s="1"/>
      <c r="R817" s="113"/>
      <c r="S817" s="113"/>
      <c r="T817" s="113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13"/>
      <c r="H818" s="113"/>
      <c r="K818" s="1"/>
      <c r="N818" s="1"/>
      <c r="Q818" s="1"/>
      <c r="R818" s="113"/>
      <c r="S818" s="113"/>
      <c r="T818" s="113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13"/>
      <c r="H819" s="113"/>
      <c r="K819" s="1"/>
      <c r="N819" s="1"/>
      <c r="Q819" s="1"/>
      <c r="R819" s="113"/>
      <c r="S819" s="113"/>
      <c r="T819" s="113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13"/>
      <c r="H820" s="113"/>
      <c r="K820" s="1"/>
      <c r="N820" s="1"/>
      <c r="Q820" s="1"/>
      <c r="R820" s="113"/>
      <c r="S820" s="113"/>
      <c r="T820" s="113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13"/>
      <c r="H821" s="113"/>
      <c r="K821" s="1"/>
      <c r="N821" s="1"/>
      <c r="Q821" s="1"/>
      <c r="R821" s="113"/>
      <c r="S821" s="113"/>
      <c r="T821" s="113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13"/>
      <c r="H822" s="113"/>
      <c r="K822" s="1"/>
      <c r="N822" s="1"/>
      <c r="Q822" s="1"/>
      <c r="R822" s="113"/>
      <c r="S822" s="113"/>
      <c r="T822" s="113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13"/>
      <c r="H823" s="113"/>
      <c r="K823" s="1"/>
      <c r="N823" s="1"/>
      <c r="Q823" s="1"/>
      <c r="R823" s="113"/>
      <c r="S823" s="113"/>
      <c r="T823" s="113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13"/>
      <c r="H824" s="113"/>
      <c r="K824" s="1"/>
      <c r="N824" s="1"/>
      <c r="Q824" s="1"/>
      <c r="R824" s="113"/>
      <c r="S824" s="113"/>
      <c r="T824" s="113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13"/>
      <c r="H825" s="113"/>
      <c r="K825" s="1"/>
      <c r="N825" s="1"/>
      <c r="Q825" s="1"/>
      <c r="R825" s="113"/>
      <c r="S825" s="113"/>
      <c r="T825" s="113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13"/>
      <c r="H826" s="113"/>
      <c r="K826" s="1"/>
      <c r="N826" s="1"/>
      <c r="Q826" s="1"/>
      <c r="R826" s="113"/>
      <c r="S826" s="113"/>
      <c r="T826" s="113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13"/>
      <c r="H827" s="113"/>
      <c r="K827" s="1"/>
      <c r="N827" s="1"/>
      <c r="Q827" s="1"/>
      <c r="R827" s="113"/>
      <c r="S827" s="113"/>
      <c r="T827" s="113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13"/>
      <c r="H828" s="113"/>
      <c r="K828" s="1"/>
      <c r="N828" s="1"/>
      <c r="Q828" s="1"/>
      <c r="R828" s="113"/>
      <c r="S828" s="113"/>
      <c r="T828" s="113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13"/>
      <c r="H829" s="113"/>
      <c r="K829" s="1"/>
      <c r="N829" s="1"/>
      <c r="Q829" s="1"/>
      <c r="R829" s="113"/>
      <c r="S829" s="113"/>
      <c r="T829" s="113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13"/>
      <c r="H830" s="113"/>
      <c r="K830" s="1"/>
      <c r="N830" s="1"/>
      <c r="Q830" s="1"/>
      <c r="R830" s="113"/>
      <c r="S830" s="113"/>
      <c r="T830" s="113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13"/>
      <c r="H831" s="113"/>
      <c r="K831" s="1"/>
      <c r="N831" s="1"/>
      <c r="Q831" s="1"/>
      <c r="R831" s="113"/>
      <c r="S831" s="113"/>
      <c r="T831" s="113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13"/>
      <c r="H832" s="113"/>
      <c r="K832" s="1"/>
      <c r="N832" s="1"/>
      <c r="Q832" s="1"/>
      <c r="R832" s="113"/>
      <c r="S832" s="113"/>
      <c r="T832" s="113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13"/>
      <c r="H833" s="113"/>
      <c r="K833" s="1"/>
      <c r="N833" s="1"/>
      <c r="Q833" s="1"/>
      <c r="R833" s="113"/>
      <c r="S833" s="113"/>
      <c r="T833" s="113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13"/>
      <c r="H834" s="113"/>
      <c r="K834" s="1"/>
      <c r="N834" s="1"/>
      <c r="Q834" s="1"/>
      <c r="R834" s="113"/>
      <c r="S834" s="113"/>
      <c r="T834" s="113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13"/>
      <c r="H835" s="113"/>
      <c r="K835" s="1"/>
      <c r="N835" s="1"/>
      <c r="Q835" s="1"/>
      <c r="R835" s="113"/>
      <c r="S835" s="113"/>
      <c r="T835" s="113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13"/>
      <c r="H836" s="113"/>
      <c r="K836" s="1"/>
      <c r="N836" s="1"/>
      <c r="Q836" s="1"/>
      <c r="R836" s="113"/>
      <c r="S836" s="113"/>
      <c r="T836" s="113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13"/>
      <c r="H837" s="113"/>
      <c r="K837" s="1"/>
      <c r="N837" s="1"/>
      <c r="Q837" s="1"/>
      <c r="R837" s="113"/>
      <c r="S837" s="113"/>
      <c r="T837" s="113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13"/>
      <c r="H838" s="113"/>
      <c r="K838" s="1"/>
      <c r="N838" s="1"/>
      <c r="Q838" s="1"/>
      <c r="R838" s="113"/>
      <c r="S838" s="113"/>
      <c r="T838" s="113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13"/>
      <c r="H839" s="113"/>
      <c r="K839" s="1"/>
      <c r="N839" s="1"/>
      <c r="Q839" s="1"/>
      <c r="R839" s="113"/>
      <c r="S839" s="113"/>
      <c r="T839" s="113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13"/>
      <c r="H840" s="113"/>
      <c r="K840" s="1"/>
      <c r="N840" s="1"/>
      <c r="Q840" s="1"/>
      <c r="R840" s="113"/>
      <c r="S840" s="113"/>
      <c r="T840" s="113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13"/>
      <c r="H841" s="113"/>
      <c r="K841" s="1"/>
      <c r="N841" s="1"/>
      <c r="Q841" s="1"/>
      <c r="R841" s="113"/>
      <c r="S841" s="113"/>
      <c r="T841" s="113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13"/>
      <c r="H842" s="113"/>
      <c r="K842" s="1"/>
      <c r="N842" s="1"/>
      <c r="Q842" s="1"/>
      <c r="R842" s="113"/>
      <c r="S842" s="113"/>
      <c r="T842" s="113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13"/>
      <c r="H843" s="113"/>
      <c r="K843" s="1"/>
      <c r="N843" s="1"/>
      <c r="Q843" s="1"/>
      <c r="R843" s="113"/>
      <c r="S843" s="113"/>
      <c r="T843" s="113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13"/>
      <c r="H844" s="113"/>
      <c r="K844" s="1"/>
      <c r="N844" s="1"/>
      <c r="Q844" s="1"/>
      <c r="R844" s="113"/>
      <c r="S844" s="113"/>
      <c r="T844" s="113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13"/>
      <c r="H845" s="113"/>
      <c r="K845" s="1"/>
      <c r="N845" s="1"/>
      <c r="Q845" s="1"/>
      <c r="R845" s="113"/>
      <c r="S845" s="113"/>
      <c r="T845" s="113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13"/>
      <c r="H846" s="113"/>
      <c r="K846" s="1"/>
      <c r="N846" s="1"/>
      <c r="Q846" s="1"/>
      <c r="R846" s="113"/>
      <c r="S846" s="113"/>
      <c r="T846" s="113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13"/>
      <c r="H847" s="113"/>
      <c r="K847" s="1"/>
      <c r="N847" s="1"/>
      <c r="Q847" s="1"/>
      <c r="R847" s="113"/>
      <c r="S847" s="113"/>
      <c r="T847" s="113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13"/>
      <c r="H848" s="113"/>
      <c r="K848" s="1"/>
      <c r="N848" s="1"/>
      <c r="Q848" s="1"/>
      <c r="R848" s="113"/>
      <c r="S848" s="113"/>
      <c r="T848" s="113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13"/>
      <c r="H849" s="113"/>
      <c r="K849" s="1"/>
      <c r="N849" s="1"/>
      <c r="Q849" s="1"/>
      <c r="R849" s="113"/>
      <c r="S849" s="113"/>
      <c r="T849" s="113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13"/>
      <c r="H850" s="113"/>
      <c r="K850" s="1"/>
      <c r="N850" s="1"/>
      <c r="Q850" s="1"/>
      <c r="R850" s="113"/>
      <c r="S850" s="113"/>
      <c r="T850" s="113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13"/>
      <c r="H851" s="113"/>
      <c r="K851" s="1"/>
      <c r="N851" s="1"/>
      <c r="Q851" s="1"/>
      <c r="R851" s="113"/>
      <c r="S851" s="113"/>
      <c r="T851" s="113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13"/>
      <c r="H852" s="113"/>
      <c r="K852" s="1"/>
      <c r="N852" s="1"/>
      <c r="Q852" s="1"/>
      <c r="R852" s="113"/>
      <c r="S852" s="113"/>
      <c r="T852" s="113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13"/>
      <c r="H853" s="113"/>
      <c r="K853" s="1"/>
      <c r="N853" s="1"/>
      <c r="Q853" s="1"/>
      <c r="R853" s="113"/>
      <c r="S853" s="113"/>
      <c r="T853" s="113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13"/>
      <c r="H854" s="113"/>
      <c r="K854" s="1"/>
      <c r="N854" s="1"/>
      <c r="Q854" s="1"/>
      <c r="R854" s="113"/>
      <c r="S854" s="113"/>
      <c r="T854" s="113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13"/>
      <c r="H855" s="113"/>
      <c r="K855" s="1"/>
      <c r="N855" s="1"/>
      <c r="Q855" s="1"/>
      <c r="R855" s="113"/>
      <c r="S855" s="113"/>
      <c r="T855" s="113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13"/>
      <c r="H856" s="113"/>
      <c r="K856" s="1"/>
      <c r="N856" s="1"/>
      <c r="Q856" s="1"/>
      <c r="R856" s="113"/>
      <c r="S856" s="113"/>
      <c r="T856" s="113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13"/>
      <c r="H857" s="113"/>
      <c r="K857" s="1"/>
      <c r="N857" s="1"/>
      <c r="Q857" s="1"/>
      <c r="R857" s="113"/>
      <c r="S857" s="113"/>
      <c r="T857" s="113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13"/>
      <c r="H858" s="113"/>
      <c r="K858" s="1"/>
      <c r="N858" s="1"/>
      <c r="Q858" s="1"/>
      <c r="R858" s="113"/>
      <c r="S858" s="113"/>
      <c r="T858" s="113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13"/>
      <c r="H859" s="113"/>
      <c r="K859" s="1"/>
      <c r="N859" s="1"/>
      <c r="Q859" s="1"/>
      <c r="R859" s="113"/>
      <c r="S859" s="113"/>
      <c r="T859" s="113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13"/>
      <c r="H860" s="113"/>
      <c r="K860" s="1"/>
      <c r="N860" s="1"/>
      <c r="Q860" s="1"/>
      <c r="R860" s="113"/>
      <c r="S860" s="113"/>
      <c r="T860" s="113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13"/>
      <c r="H861" s="113"/>
      <c r="K861" s="1"/>
      <c r="N861" s="1"/>
      <c r="Q861" s="1"/>
      <c r="R861" s="113"/>
      <c r="S861" s="113"/>
      <c r="T861" s="113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13"/>
      <c r="H862" s="113"/>
      <c r="K862" s="1"/>
      <c r="N862" s="1"/>
      <c r="Q862" s="1"/>
      <c r="R862" s="113"/>
      <c r="S862" s="113"/>
      <c r="T862" s="113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13"/>
      <c r="H863" s="113"/>
      <c r="K863" s="1"/>
      <c r="N863" s="1"/>
      <c r="Q863" s="1"/>
      <c r="R863" s="113"/>
      <c r="S863" s="113"/>
      <c r="T863" s="113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13"/>
      <c r="H864" s="113"/>
      <c r="K864" s="1"/>
      <c r="N864" s="1"/>
      <c r="Q864" s="1"/>
      <c r="R864" s="113"/>
      <c r="S864" s="113"/>
      <c r="T864" s="113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13"/>
      <c r="H865" s="113"/>
      <c r="K865" s="1"/>
      <c r="N865" s="1"/>
      <c r="Q865" s="1"/>
      <c r="R865" s="113"/>
      <c r="S865" s="113"/>
      <c r="T865" s="113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13"/>
      <c r="H866" s="113"/>
      <c r="K866" s="1"/>
      <c r="N866" s="1"/>
      <c r="Q866" s="1"/>
      <c r="R866" s="113"/>
      <c r="S866" s="113"/>
      <c r="T866" s="113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13"/>
      <c r="H867" s="113"/>
      <c r="K867" s="1"/>
      <c r="N867" s="1"/>
      <c r="Q867" s="1"/>
      <c r="R867" s="113"/>
      <c r="S867" s="113"/>
      <c r="T867" s="113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13"/>
      <c r="H868" s="113"/>
      <c r="K868" s="1"/>
      <c r="N868" s="1"/>
      <c r="Q868" s="1"/>
      <c r="R868" s="113"/>
      <c r="S868" s="113"/>
      <c r="T868" s="113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13"/>
      <c r="H869" s="113"/>
      <c r="K869" s="1"/>
      <c r="N869" s="1"/>
      <c r="Q869" s="1"/>
      <c r="R869" s="113"/>
      <c r="S869" s="113"/>
      <c r="T869" s="113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13"/>
      <c r="H870" s="113"/>
      <c r="K870" s="1"/>
      <c r="N870" s="1"/>
      <c r="Q870" s="1"/>
      <c r="R870" s="113"/>
      <c r="S870" s="113"/>
      <c r="T870" s="113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13"/>
      <c r="H871" s="113"/>
      <c r="K871" s="1"/>
      <c r="N871" s="1"/>
      <c r="Q871" s="1"/>
      <c r="R871" s="113"/>
      <c r="S871" s="113"/>
      <c r="T871" s="113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13"/>
      <c r="H872" s="113"/>
      <c r="K872" s="1"/>
      <c r="N872" s="1"/>
      <c r="Q872" s="1"/>
      <c r="R872" s="113"/>
      <c r="S872" s="113"/>
      <c r="T872" s="113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13"/>
      <c r="H873" s="113"/>
      <c r="K873" s="1"/>
      <c r="N873" s="1"/>
      <c r="Q873" s="1"/>
      <c r="R873" s="113"/>
      <c r="S873" s="113"/>
      <c r="T873" s="113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13"/>
      <c r="H874" s="113"/>
      <c r="K874" s="1"/>
      <c r="N874" s="1"/>
      <c r="Q874" s="1"/>
      <c r="R874" s="113"/>
      <c r="S874" s="113"/>
      <c r="T874" s="113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13"/>
      <c r="H875" s="113"/>
      <c r="K875" s="1"/>
      <c r="N875" s="1"/>
      <c r="Q875" s="1"/>
      <c r="R875" s="113"/>
      <c r="S875" s="113"/>
      <c r="T875" s="113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13"/>
      <c r="H876" s="113"/>
      <c r="K876" s="1"/>
      <c r="N876" s="1"/>
      <c r="Q876" s="1"/>
      <c r="R876" s="113"/>
      <c r="S876" s="113"/>
      <c r="T876" s="113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13"/>
      <c r="H877" s="113"/>
      <c r="K877" s="1"/>
      <c r="N877" s="1"/>
      <c r="Q877" s="1"/>
      <c r="R877" s="113"/>
      <c r="S877" s="113"/>
      <c r="T877" s="113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13"/>
      <c r="H878" s="113"/>
      <c r="K878" s="1"/>
      <c r="N878" s="1"/>
      <c r="Q878" s="1"/>
      <c r="R878" s="113"/>
      <c r="S878" s="113"/>
      <c r="T878" s="113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13"/>
      <c r="H879" s="113"/>
      <c r="K879" s="1"/>
      <c r="N879" s="1"/>
      <c r="Q879" s="1"/>
      <c r="R879" s="113"/>
      <c r="S879" s="113"/>
      <c r="T879" s="113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13"/>
      <c r="H880" s="113"/>
      <c r="K880" s="1"/>
      <c r="N880" s="1"/>
      <c r="Q880" s="1"/>
      <c r="R880" s="113"/>
      <c r="S880" s="113"/>
      <c r="T880" s="113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13"/>
      <c r="H881" s="113"/>
      <c r="K881" s="1"/>
      <c r="N881" s="1"/>
      <c r="Q881" s="1"/>
      <c r="R881" s="113"/>
      <c r="S881" s="113"/>
      <c r="T881" s="113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13"/>
      <c r="H882" s="113"/>
      <c r="K882" s="1"/>
      <c r="N882" s="1"/>
      <c r="Q882" s="1"/>
      <c r="R882" s="113"/>
      <c r="S882" s="113"/>
      <c r="T882" s="113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13"/>
      <c r="H883" s="113"/>
      <c r="K883" s="1"/>
      <c r="N883" s="1"/>
      <c r="Q883" s="1"/>
      <c r="R883" s="113"/>
      <c r="S883" s="113"/>
      <c r="T883" s="113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13"/>
      <c r="H884" s="113"/>
      <c r="K884" s="1"/>
      <c r="N884" s="1"/>
      <c r="Q884" s="1"/>
      <c r="R884" s="113"/>
      <c r="S884" s="113"/>
      <c r="T884" s="113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13"/>
      <c r="H885" s="113"/>
      <c r="K885" s="1"/>
      <c r="N885" s="1"/>
      <c r="Q885" s="1"/>
      <c r="R885" s="113"/>
      <c r="S885" s="113"/>
      <c r="T885" s="113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13"/>
      <c r="H886" s="113"/>
      <c r="K886" s="1"/>
      <c r="N886" s="1"/>
      <c r="Q886" s="1"/>
      <c r="R886" s="113"/>
      <c r="S886" s="113"/>
      <c r="T886" s="113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13"/>
      <c r="H887" s="113"/>
      <c r="K887" s="1"/>
      <c r="N887" s="1"/>
      <c r="Q887" s="1"/>
      <c r="R887" s="113"/>
      <c r="S887" s="113"/>
      <c r="T887" s="113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13"/>
      <c r="H888" s="113"/>
      <c r="K888" s="1"/>
      <c r="N888" s="1"/>
      <c r="Q888" s="1"/>
      <c r="R888" s="113"/>
      <c r="S888" s="113"/>
      <c r="T888" s="113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13"/>
      <c r="H889" s="113"/>
      <c r="K889" s="1"/>
      <c r="N889" s="1"/>
      <c r="Q889" s="1"/>
      <c r="R889" s="113"/>
      <c r="S889" s="113"/>
      <c r="T889" s="113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13"/>
      <c r="H890" s="113"/>
      <c r="K890" s="1"/>
      <c r="N890" s="1"/>
      <c r="Q890" s="1"/>
      <c r="R890" s="113"/>
      <c r="S890" s="113"/>
      <c r="T890" s="113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13"/>
      <c r="H891" s="113"/>
      <c r="K891" s="1"/>
      <c r="N891" s="1"/>
      <c r="Q891" s="1"/>
      <c r="R891" s="113"/>
      <c r="S891" s="113"/>
      <c r="T891" s="113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13"/>
      <c r="H892" s="113"/>
      <c r="K892" s="1"/>
      <c r="N892" s="1"/>
      <c r="Q892" s="1"/>
      <c r="R892" s="113"/>
      <c r="S892" s="113"/>
      <c r="T892" s="113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13"/>
      <c r="H893" s="113"/>
      <c r="K893" s="1"/>
      <c r="N893" s="1"/>
      <c r="Q893" s="1"/>
      <c r="R893" s="113"/>
      <c r="S893" s="113"/>
      <c r="T893" s="113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13"/>
      <c r="H894" s="113"/>
      <c r="K894" s="1"/>
      <c r="N894" s="1"/>
      <c r="Q894" s="1"/>
      <c r="R894" s="113"/>
      <c r="S894" s="113"/>
      <c r="T894" s="113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13"/>
      <c r="H895" s="113"/>
      <c r="K895" s="1"/>
      <c r="N895" s="1"/>
      <c r="Q895" s="1"/>
      <c r="R895" s="113"/>
      <c r="S895" s="113"/>
      <c r="T895" s="113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13"/>
      <c r="H896" s="113"/>
      <c r="K896" s="1"/>
      <c r="N896" s="1"/>
      <c r="Q896" s="1"/>
      <c r="R896" s="113"/>
      <c r="S896" s="113"/>
      <c r="T896" s="113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13"/>
      <c r="H897" s="113"/>
      <c r="K897" s="1"/>
      <c r="N897" s="1"/>
      <c r="Q897" s="1"/>
      <c r="R897" s="113"/>
      <c r="S897" s="113"/>
      <c r="T897" s="113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13"/>
      <c r="H898" s="113"/>
      <c r="K898" s="1"/>
      <c r="N898" s="1"/>
      <c r="Q898" s="1"/>
      <c r="R898" s="113"/>
      <c r="S898" s="113"/>
      <c r="T898" s="113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13"/>
      <c r="H899" s="113"/>
      <c r="K899" s="1"/>
      <c r="N899" s="1"/>
      <c r="Q899" s="1"/>
      <c r="R899" s="113"/>
      <c r="S899" s="113"/>
      <c r="T899" s="113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13"/>
      <c r="H900" s="113"/>
      <c r="K900" s="1"/>
      <c r="N900" s="1"/>
      <c r="Q900" s="1"/>
      <c r="R900" s="113"/>
      <c r="S900" s="113"/>
      <c r="T900" s="113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13"/>
      <c r="H901" s="113"/>
      <c r="K901" s="1"/>
      <c r="N901" s="1"/>
      <c r="Q901" s="1"/>
      <c r="R901" s="113"/>
      <c r="S901" s="113"/>
      <c r="T901" s="113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13"/>
      <c r="H902" s="113"/>
      <c r="K902" s="1"/>
      <c r="N902" s="1"/>
      <c r="Q902" s="1"/>
      <c r="R902" s="113"/>
      <c r="S902" s="113"/>
      <c r="T902" s="113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13"/>
      <c r="H903" s="113"/>
      <c r="K903" s="1"/>
      <c r="N903" s="1"/>
      <c r="Q903" s="1"/>
      <c r="R903" s="113"/>
      <c r="S903" s="113"/>
      <c r="T903" s="113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13"/>
      <c r="H904" s="113"/>
      <c r="K904" s="1"/>
      <c r="N904" s="1"/>
      <c r="Q904" s="1"/>
      <c r="R904" s="113"/>
      <c r="S904" s="113"/>
      <c r="T904" s="113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13"/>
      <c r="H905" s="113"/>
      <c r="K905" s="1"/>
      <c r="N905" s="1"/>
      <c r="Q905" s="1"/>
      <c r="R905" s="113"/>
      <c r="S905" s="113"/>
      <c r="T905" s="113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13"/>
      <c r="H906" s="113"/>
      <c r="K906" s="1"/>
      <c r="N906" s="1"/>
      <c r="Q906" s="1"/>
      <c r="R906" s="113"/>
      <c r="S906" s="113"/>
      <c r="T906" s="113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13"/>
      <c r="H907" s="113"/>
      <c r="K907" s="1"/>
      <c r="N907" s="1"/>
      <c r="Q907" s="1"/>
      <c r="R907" s="113"/>
      <c r="S907" s="113"/>
      <c r="T907" s="113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13"/>
      <c r="H908" s="113"/>
      <c r="K908" s="1"/>
      <c r="N908" s="1"/>
      <c r="Q908" s="1"/>
      <c r="R908" s="113"/>
      <c r="S908" s="113"/>
      <c r="T908" s="113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13"/>
      <c r="H909" s="113"/>
      <c r="K909" s="1"/>
      <c r="N909" s="1"/>
      <c r="Q909" s="1"/>
      <c r="R909" s="113"/>
      <c r="S909" s="113"/>
      <c r="T909" s="113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13"/>
      <c r="H910" s="113"/>
      <c r="K910" s="1"/>
      <c r="N910" s="1"/>
      <c r="Q910" s="1"/>
      <c r="R910" s="113"/>
      <c r="S910" s="113"/>
      <c r="T910" s="113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13"/>
      <c r="H911" s="113"/>
      <c r="K911" s="1"/>
      <c r="N911" s="1"/>
      <c r="Q911" s="1"/>
      <c r="R911" s="113"/>
      <c r="S911" s="113"/>
      <c r="T911" s="113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13"/>
      <c r="H912" s="113"/>
      <c r="K912" s="1"/>
      <c r="N912" s="1"/>
      <c r="Q912" s="1"/>
      <c r="R912" s="113"/>
      <c r="S912" s="113"/>
      <c r="T912" s="113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13"/>
      <c r="H913" s="113"/>
      <c r="K913" s="1"/>
      <c r="N913" s="1"/>
      <c r="Q913" s="1"/>
      <c r="R913" s="113"/>
      <c r="S913" s="113"/>
      <c r="T913" s="113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13"/>
      <c r="H914" s="113"/>
      <c r="K914" s="1"/>
      <c r="N914" s="1"/>
      <c r="Q914" s="1"/>
      <c r="R914" s="113"/>
      <c r="S914" s="113"/>
      <c r="T914" s="113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13"/>
      <c r="H915" s="113"/>
      <c r="K915" s="1"/>
      <c r="N915" s="1"/>
      <c r="Q915" s="1"/>
      <c r="R915" s="113"/>
      <c r="S915" s="113"/>
      <c r="T915" s="113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13"/>
      <c r="H916" s="113"/>
      <c r="K916" s="1"/>
      <c r="N916" s="1"/>
      <c r="Q916" s="1"/>
      <c r="R916" s="113"/>
      <c r="S916" s="113"/>
      <c r="T916" s="113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13"/>
      <c r="H917" s="113"/>
      <c r="K917" s="1"/>
      <c r="N917" s="1"/>
      <c r="Q917" s="1"/>
      <c r="R917" s="113"/>
      <c r="S917" s="113"/>
      <c r="T917" s="113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13"/>
      <c r="H918" s="113"/>
      <c r="K918" s="1"/>
      <c r="N918" s="1"/>
      <c r="Q918" s="1"/>
      <c r="R918" s="113"/>
      <c r="S918" s="113"/>
      <c r="T918" s="113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13"/>
      <c r="H919" s="113"/>
      <c r="K919" s="1"/>
      <c r="N919" s="1"/>
      <c r="Q919" s="1"/>
      <c r="R919" s="113"/>
      <c r="S919" s="113"/>
      <c r="T919" s="113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13"/>
      <c r="H920" s="113"/>
      <c r="K920" s="1"/>
      <c r="N920" s="1"/>
      <c r="Q920" s="1"/>
      <c r="R920" s="113"/>
      <c r="S920" s="113"/>
      <c r="T920" s="113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13"/>
      <c r="H921" s="113"/>
      <c r="K921" s="1"/>
      <c r="N921" s="1"/>
      <c r="Q921" s="1"/>
      <c r="R921" s="113"/>
      <c r="S921" s="113"/>
      <c r="T921" s="113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13"/>
      <c r="H922" s="113"/>
      <c r="K922" s="1"/>
      <c r="N922" s="1"/>
      <c r="Q922" s="1"/>
      <c r="R922" s="113"/>
      <c r="S922" s="113"/>
      <c r="T922" s="113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13"/>
      <c r="H923" s="113"/>
      <c r="K923" s="1"/>
      <c r="N923" s="1"/>
      <c r="Q923" s="1"/>
      <c r="R923" s="113"/>
      <c r="S923" s="113"/>
      <c r="T923" s="113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13"/>
      <c r="H924" s="113"/>
      <c r="K924" s="1"/>
      <c r="N924" s="1"/>
      <c r="Q924" s="1"/>
      <c r="R924" s="113"/>
      <c r="S924" s="113"/>
      <c r="T924" s="113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13"/>
      <c r="H925" s="113"/>
      <c r="K925" s="1"/>
      <c r="N925" s="1"/>
      <c r="Q925" s="1"/>
      <c r="R925" s="113"/>
      <c r="S925" s="113"/>
      <c r="T925" s="113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13"/>
      <c r="H926" s="113"/>
      <c r="K926" s="1"/>
      <c r="N926" s="1"/>
      <c r="Q926" s="1"/>
      <c r="R926" s="113"/>
      <c r="S926" s="113"/>
      <c r="T926" s="113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13"/>
      <c r="H927" s="113"/>
      <c r="K927" s="1"/>
      <c r="N927" s="1"/>
      <c r="Q927" s="1"/>
      <c r="R927" s="113"/>
      <c r="S927" s="113"/>
      <c r="T927" s="113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13"/>
      <c r="H928" s="113"/>
      <c r="K928" s="1"/>
      <c r="N928" s="1"/>
      <c r="Q928" s="1"/>
      <c r="R928" s="113"/>
      <c r="S928" s="113"/>
      <c r="T928" s="113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13"/>
      <c r="H929" s="113"/>
      <c r="K929" s="1"/>
      <c r="N929" s="1"/>
      <c r="Q929" s="1"/>
      <c r="R929" s="113"/>
      <c r="S929" s="113"/>
      <c r="T929" s="113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13"/>
      <c r="H930" s="113"/>
      <c r="K930" s="1"/>
      <c r="N930" s="1"/>
      <c r="Q930" s="1"/>
      <c r="R930" s="113"/>
      <c r="S930" s="113"/>
      <c r="T930" s="113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13"/>
      <c r="H931" s="113"/>
      <c r="K931" s="1"/>
      <c r="N931" s="1"/>
      <c r="Q931" s="1"/>
      <c r="R931" s="113"/>
      <c r="S931" s="113"/>
      <c r="T931" s="113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13"/>
      <c r="H932" s="113"/>
      <c r="K932" s="1"/>
      <c r="N932" s="1"/>
      <c r="Q932" s="1"/>
      <c r="R932" s="113"/>
      <c r="S932" s="113"/>
      <c r="T932" s="113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13"/>
      <c r="H933" s="113"/>
      <c r="K933" s="1"/>
      <c r="N933" s="1"/>
      <c r="Q933" s="1"/>
      <c r="R933" s="113"/>
      <c r="S933" s="113"/>
      <c r="T933" s="113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13"/>
      <c r="H934" s="113"/>
      <c r="K934" s="1"/>
      <c r="N934" s="1"/>
      <c r="Q934" s="1"/>
      <c r="R934" s="113"/>
      <c r="S934" s="113"/>
      <c r="T934" s="113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13"/>
      <c r="H935" s="113"/>
      <c r="K935" s="1"/>
      <c r="N935" s="1"/>
      <c r="Q935" s="1"/>
      <c r="R935" s="113"/>
      <c r="S935" s="113"/>
      <c r="T935" s="113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13"/>
      <c r="H936" s="113"/>
      <c r="K936" s="1"/>
      <c r="N936" s="1"/>
      <c r="Q936" s="1"/>
      <c r="R936" s="113"/>
      <c r="S936" s="113"/>
      <c r="T936" s="113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13"/>
      <c r="H937" s="113"/>
      <c r="K937" s="1"/>
      <c r="N937" s="1"/>
      <c r="Q937" s="1"/>
      <c r="R937" s="113"/>
      <c r="S937" s="113"/>
      <c r="T937" s="113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13"/>
      <c r="H938" s="113"/>
      <c r="K938" s="1"/>
      <c r="N938" s="1"/>
      <c r="Q938" s="1"/>
      <c r="R938" s="113"/>
      <c r="S938" s="113"/>
      <c r="T938" s="113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13"/>
      <c r="H939" s="113"/>
      <c r="K939" s="1"/>
      <c r="N939" s="1"/>
      <c r="Q939" s="1"/>
      <c r="R939" s="113"/>
      <c r="S939" s="113"/>
      <c r="T939" s="113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13"/>
      <c r="H940" s="113"/>
      <c r="K940" s="1"/>
      <c r="N940" s="1"/>
      <c r="Q940" s="1"/>
      <c r="R940" s="113"/>
      <c r="S940" s="113"/>
      <c r="T940" s="113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13"/>
      <c r="H941" s="113"/>
      <c r="K941" s="1"/>
      <c r="N941" s="1"/>
      <c r="Q941" s="1"/>
      <c r="R941" s="113"/>
      <c r="S941" s="113"/>
      <c r="T941" s="113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13"/>
      <c r="H942" s="113"/>
      <c r="K942" s="1"/>
      <c r="N942" s="1"/>
      <c r="Q942" s="1"/>
      <c r="R942" s="113"/>
      <c r="S942" s="113"/>
      <c r="T942" s="113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13"/>
      <c r="H943" s="113"/>
      <c r="K943" s="1"/>
      <c r="N943" s="1"/>
      <c r="Q943" s="1"/>
      <c r="R943" s="113"/>
      <c r="S943" s="113"/>
      <c r="T943" s="113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13"/>
      <c r="H944" s="113"/>
      <c r="K944" s="1"/>
      <c r="N944" s="1"/>
      <c r="Q944" s="1"/>
      <c r="R944" s="113"/>
      <c r="S944" s="113"/>
      <c r="T944" s="113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13"/>
      <c r="H945" s="113"/>
      <c r="K945" s="1"/>
      <c r="N945" s="1"/>
      <c r="Q945" s="1"/>
      <c r="R945" s="113"/>
      <c r="S945" s="113"/>
      <c r="T945" s="113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13"/>
      <c r="H946" s="113"/>
      <c r="K946" s="1"/>
      <c r="N946" s="1"/>
      <c r="Q946" s="1"/>
      <c r="R946" s="113"/>
      <c r="S946" s="113"/>
      <c r="T946" s="113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13"/>
      <c r="H947" s="113"/>
      <c r="K947" s="1"/>
      <c r="N947" s="1"/>
      <c r="Q947" s="1"/>
      <c r="R947" s="113"/>
      <c r="S947" s="113"/>
      <c r="T947" s="113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13"/>
      <c r="H948" s="113"/>
      <c r="K948" s="1"/>
      <c r="N948" s="1"/>
      <c r="Q948" s="1"/>
      <c r="R948" s="113"/>
      <c r="S948" s="113"/>
      <c r="T948" s="113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13"/>
      <c r="H949" s="113"/>
      <c r="K949" s="1"/>
      <c r="N949" s="1"/>
      <c r="Q949" s="1"/>
      <c r="R949" s="113"/>
      <c r="S949" s="113"/>
      <c r="T949" s="113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13"/>
      <c r="H950" s="113"/>
      <c r="K950" s="1"/>
      <c r="N950" s="1"/>
      <c r="Q950" s="1"/>
      <c r="R950" s="113"/>
      <c r="S950" s="113"/>
      <c r="T950" s="113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13"/>
      <c r="H951" s="113"/>
      <c r="K951" s="1"/>
      <c r="N951" s="1"/>
      <c r="Q951" s="1"/>
      <c r="R951" s="113"/>
      <c r="S951" s="113"/>
      <c r="T951" s="113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13"/>
      <c r="H952" s="113"/>
      <c r="K952" s="1"/>
      <c r="N952" s="1"/>
      <c r="Q952" s="1"/>
      <c r="R952" s="113"/>
      <c r="S952" s="113"/>
      <c r="T952" s="113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13"/>
      <c r="H953" s="113"/>
      <c r="K953" s="1"/>
      <c r="N953" s="1"/>
      <c r="Q953" s="1"/>
      <c r="R953" s="113"/>
      <c r="S953" s="113"/>
      <c r="T953" s="113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13"/>
      <c r="H954" s="113"/>
      <c r="K954" s="1"/>
      <c r="N954" s="1"/>
      <c r="Q954" s="1"/>
      <c r="R954" s="113"/>
      <c r="S954" s="113"/>
      <c r="T954" s="113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13"/>
      <c r="H955" s="113"/>
      <c r="K955" s="1"/>
      <c r="N955" s="1"/>
      <c r="Q955" s="1"/>
      <c r="R955" s="113"/>
      <c r="S955" s="113"/>
      <c r="T955" s="113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13"/>
      <c r="H956" s="113"/>
      <c r="K956" s="1"/>
      <c r="N956" s="1"/>
      <c r="Q956" s="1"/>
      <c r="R956" s="113"/>
      <c r="S956" s="113"/>
      <c r="T956" s="113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13"/>
      <c r="H957" s="113"/>
      <c r="K957" s="1"/>
      <c r="N957" s="1"/>
      <c r="Q957" s="1"/>
      <c r="R957" s="113"/>
      <c r="S957" s="113"/>
      <c r="T957" s="113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13"/>
      <c r="H958" s="113"/>
      <c r="K958" s="1"/>
      <c r="N958" s="1"/>
      <c r="Q958" s="1"/>
      <c r="R958" s="113"/>
      <c r="S958" s="113"/>
      <c r="T958" s="113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13"/>
      <c r="H959" s="113"/>
      <c r="K959" s="1"/>
      <c r="N959" s="1"/>
      <c r="Q959" s="1"/>
      <c r="R959" s="113"/>
      <c r="S959" s="113"/>
      <c r="T959" s="113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13"/>
      <c r="H960" s="113"/>
      <c r="K960" s="1"/>
      <c r="N960" s="1"/>
      <c r="Q960" s="1"/>
      <c r="R960" s="113"/>
      <c r="S960" s="113"/>
      <c r="T960" s="113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13"/>
      <c r="H961" s="113"/>
      <c r="K961" s="1"/>
      <c r="N961" s="1"/>
      <c r="Q961" s="1"/>
      <c r="R961" s="113"/>
      <c r="S961" s="113"/>
      <c r="T961" s="113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13"/>
      <c r="H962" s="113"/>
      <c r="K962" s="1"/>
      <c r="N962" s="1"/>
      <c r="Q962" s="1"/>
      <c r="R962" s="113"/>
      <c r="S962" s="113"/>
      <c r="T962" s="113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13"/>
      <c r="H963" s="113"/>
      <c r="K963" s="1"/>
      <c r="N963" s="1"/>
      <c r="Q963" s="1"/>
      <c r="R963" s="113"/>
      <c r="S963" s="113"/>
      <c r="T963" s="113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13"/>
      <c r="H964" s="113"/>
      <c r="K964" s="1"/>
      <c r="N964" s="1"/>
      <c r="Q964" s="1"/>
      <c r="R964" s="113"/>
      <c r="S964" s="113"/>
      <c r="T964" s="113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13"/>
      <c r="H965" s="113"/>
      <c r="K965" s="1"/>
      <c r="N965" s="1"/>
      <c r="Q965" s="1"/>
      <c r="R965" s="113"/>
      <c r="S965" s="113"/>
      <c r="T965" s="113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13"/>
      <c r="H966" s="113"/>
      <c r="K966" s="1"/>
      <c r="N966" s="1"/>
      <c r="Q966" s="1"/>
      <c r="R966" s="113"/>
      <c r="S966" s="113"/>
      <c r="T966" s="113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13"/>
      <c r="H967" s="113"/>
      <c r="K967" s="1"/>
      <c r="N967" s="1"/>
      <c r="Q967" s="1"/>
      <c r="R967" s="113"/>
      <c r="S967" s="113"/>
      <c r="T967" s="113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13"/>
      <c r="H968" s="113"/>
      <c r="K968" s="1"/>
      <c r="N968" s="1"/>
      <c r="Q968" s="1"/>
      <c r="R968" s="113"/>
      <c r="S968" s="113"/>
      <c r="T968" s="113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13"/>
      <c r="H969" s="113"/>
      <c r="K969" s="1"/>
      <c r="N969" s="1"/>
      <c r="Q969" s="1"/>
      <c r="R969" s="113"/>
      <c r="S969" s="113"/>
      <c r="T969" s="113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13"/>
      <c r="H970" s="113"/>
      <c r="K970" s="1"/>
      <c r="N970" s="1"/>
      <c r="Q970" s="1"/>
      <c r="R970" s="113"/>
      <c r="S970" s="113"/>
      <c r="T970" s="113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13"/>
      <c r="H971" s="113"/>
      <c r="K971" s="1"/>
      <c r="N971" s="1"/>
      <c r="Q971" s="1"/>
      <c r="R971" s="113"/>
      <c r="S971" s="113"/>
      <c r="T971" s="113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13"/>
      <c r="H972" s="113"/>
      <c r="K972" s="1"/>
      <c r="N972" s="1"/>
      <c r="Q972" s="1"/>
      <c r="R972" s="113"/>
      <c r="S972" s="113"/>
      <c r="T972" s="113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13"/>
      <c r="H973" s="113"/>
      <c r="K973" s="1"/>
      <c r="N973" s="1"/>
      <c r="Q973" s="1"/>
      <c r="R973" s="113"/>
      <c r="S973" s="113"/>
      <c r="T973" s="113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13"/>
      <c r="H974" s="113"/>
      <c r="K974" s="1"/>
      <c r="N974" s="1"/>
      <c r="Q974" s="1"/>
      <c r="R974" s="113"/>
      <c r="S974" s="113"/>
      <c r="T974" s="113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13"/>
      <c r="H975" s="113"/>
      <c r="K975" s="1"/>
      <c r="N975" s="1"/>
      <c r="Q975" s="1"/>
      <c r="R975" s="113"/>
      <c r="S975" s="113"/>
      <c r="T975" s="113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13"/>
      <c r="H976" s="113"/>
      <c r="K976" s="1"/>
      <c r="N976" s="1"/>
      <c r="Q976" s="1"/>
      <c r="R976" s="113"/>
      <c r="S976" s="113"/>
      <c r="T976" s="113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13"/>
      <c r="H977" s="113"/>
      <c r="K977" s="1"/>
      <c r="N977" s="1"/>
      <c r="Q977" s="1"/>
      <c r="R977" s="113"/>
      <c r="S977" s="113"/>
      <c r="T977" s="113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13"/>
      <c r="H978" s="113"/>
      <c r="K978" s="1"/>
      <c r="N978" s="1"/>
      <c r="Q978" s="1"/>
      <c r="R978" s="113"/>
      <c r="S978" s="113"/>
      <c r="T978" s="113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13"/>
      <c r="H979" s="113"/>
      <c r="K979" s="1"/>
      <c r="N979" s="1"/>
      <c r="Q979" s="1"/>
      <c r="R979" s="113"/>
      <c r="S979" s="113"/>
      <c r="T979" s="113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13"/>
      <c r="H980" s="113"/>
      <c r="K980" s="1"/>
      <c r="N980" s="1"/>
      <c r="Q980" s="1"/>
      <c r="R980" s="113"/>
      <c r="S980" s="113"/>
      <c r="T980" s="113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13"/>
      <c r="H981" s="113"/>
      <c r="K981" s="1"/>
      <c r="N981" s="1"/>
      <c r="Q981" s="1"/>
      <c r="R981" s="113"/>
      <c r="S981" s="113"/>
      <c r="T981" s="113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13"/>
      <c r="H982" s="113"/>
      <c r="K982" s="1"/>
      <c r="N982" s="1"/>
      <c r="Q982" s="1"/>
      <c r="R982" s="113"/>
      <c r="S982" s="113"/>
      <c r="T982" s="113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13"/>
      <c r="H983" s="113"/>
      <c r="K983" s="1"/>
      <c r="N983" s="1"/>
      <c r="Q983" s="1"/>
      <c r="R983" s="113"/>
      <c r="S983" s="113"/>
      <c r="T983" s="113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13"/>
      <c r="H984" s="113"/>
      <c r="K984" s="1"/>
      <c r="N984" s="1"/>
      <c r="Q984" s="1"/>
      <c r="R984" s="113"/>
      <c r="S984" s="113"/>
      <c r="T984" s="113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13"/>
      <c r="H985" s="113"/>
      <c r="K985" s="1"/>
      <c r="N985" s="1"/>
      <c r="Q985" s="1"/>
      <c r="R985" s="113"/>
      <c r="S985" s="113"/>
      <c r="T985" s="113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13"/>
      <c r="H986" s="113"/>
      <c r="K986" s="1"/>
      <c r="N986" s="1"/>
      <c r="Q986" s="1"/>
      <c r="R986" s="113"/>
      <c r="S986" s="113"/>
      <c r="T986" s="113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13"/>
      <c r="H987" s="113"/>
      <c r="K987" s="1"/>
      <c r="N987" s="1"/>
      <c r="Q987" s="1"/>
      <c r="R987" s="113"/>
      <c r="S987" s="113"/>
      <c r="T987" s="113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13"/>
      <c r="H988" s="113"/>
      <c r="K988" s="1"/>
      <c r="N988" s="1"/>
      <c r="Q988" s="1"/>
      <c r="R988" s="113"/>
      <c r="S988" s="113"/>
      <c r="T988" s="113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13"/>
      <c r="H989" s="113"/>
      <c r="K989" s="1"/>
      <c r="N989" s="1"/>
      <c r="Q989" s="1"/>
      <c r="R989" s="113"/>
      <c r="S989" s="113"/>
      <c r="T989" s="113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13"/>
      <c r="H990" s="113"/>
      <c r="K990" s="1"/>
      <c r="N990" s="1"/>
      <c r="Q990" s="1"/>
      <c r="R990" s="113"/>
      <c r="S990" s="113"/>
      <c r="T990" s="113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13"/>
      <c r="H991" s="113"/>
      <c r="K991" s="1"/>
      <c r="N991" s="1"/>
      <c r="Q991" s="1"/>
      <c r="R991" s="113"/>
      <c r="S991" s="113"/>
      <c r="T991" s="113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13"/>
      <c r="H992" s="113"/>
      <c r="K992" s="1"/>
      <c r="N992" s="1"/>
      <c r="Q992" s="1"/>
      <c r="R992" s="113"/>
      <c r="S992" s="113"/>
      <c r="T992" s="113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13"/>
      <c r="H993" s="113"/>
      <c r="K993" s="1"/>
      <c r="N993" s="1"/>
      <c r="Q993" s="1"/>
      <c r="R993" s="113"/>
      <c r="S993" s="113"/>
      <c r="T993" s="113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13"/>
      <c r="H994" s="113"/>
      <c r="K994" s="1"/>
      <c r="N994" s="1"/>
      <c r="Q994" s="1"/>
      <c r="R994" s="113"/>
      <c r="S994" s="113"/>
      <c r="T994" s="113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13"/>
      <c r="H995" s="113"/>
      <c r="K995" s="1"/>
      <c r="N995" s="1"/>
      <c r="Q995" s="1"/>
      <c r="R995" s="113"/>
      <c r="S995" s="113"/>
      <c r="T995" s="113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13"/>
      <c r="H996" s="113"/>
      <c r="K996" s="1"/>
      <c r="N996" s="1"/>
      <c r="Q996" s="1"/>
      <c r="R996" s="113"/>
      <c r="S996" s="113"/>
      <c r="T996" s="113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13"/>
      <c r="H997" s="113"/>
      <c r="K997" s="1"/>
      <c r="N997" s="1"/>
      <c r="Q997" s="1"/>
      <c r="R997" s="113"/>
      <c r="S997" s="113"/>
      <c r="T997" s="113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13"/>
      <c r="H998" s="113"/>
      <c r="K998" s="1"/>
      <c r="N998" s="1"/>
      <c r="Q998" s="1"/>
      <c r="R998" s="113"/>
      <c r="S998" s="113"/>
      <c r="T998" s="113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13"/>
      <c r="H999" s="113"/>
      <c r="K999" s="1"/>
      <c r="N999" s="1"/>
      <c r="Q999" s="1"/>
      <c r="R999" s="113"/>
      <c r="S999" s="113"/>
      <c r="T999" s="113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13"/>
      <c r="H1000" s="113"/>
      <c r="K1000" s="1"/>
      <c r="N1000" s="1"/>
      <c r="Q1000" s="1"/>
      <c r="R1000" s="113"/>
      <c r="S1000" s="113"/>
      <c r="T1000" s="113"/>
      <c r="U1000" s="1"/>
      <c r="V1000" s="1"/>
      <c r="W1000" s="1"/>
      <c r="X1000" s="1"/>
      <c r="Y1000" s="1"/>
      <c r="Z1000" s="1"/>
    </row>
  </sheetData>
  <mergeCells count="18">
    <mergeCell ref="B1:D1"/>
    <mergeCell ref="E1:K1"/>
    <mergeCell ref="L1:N1"/>
    <mergeCell ref="O1:V1"/>
    <mergeCell ref="E2:K2"/>
    <mergeCell ref="L2:N2"/>
    <mergeCell ref="O2:V2"/>
    <mergeCell ref="K3:M3"/>
    <mergeCell ref="N3:P3"/>
    <mergeCell ref="Q3:Q4"/>
    <mergeCell ref="R3:V3"/>
    <mergeCell ref="B2:D2"/>
    <mergeCell ref="A3:A4"/>
    <mergeCell ref="B3:B4"/>
    <mergeCell ref="C3:C4"/>
    <mergeCell ref="D3:D4"/>
    <mergeCell ref="E3:G3"/>
    <mergeCell ref="H3:J3"/>
  </mergeCells>
  <conditionalFormatting sqref="R5:U34">
    <cfRule type="expression" dxfId="1" priority="1">
      <formula>R5="No"</formula>
    </cfRule>
  </conditionalFormatting>
  <conditionalFormatting sqref="R5:U34">
    <cfRule type="expression" dxfId="0" priority="2">
      <formula>R5="Yes"</formula>
    </cfRule>
  </conditionalFormatting>
  <dataValidations>
    <dataValidation type="list" allowBlank="1" sqref="D5:D34">
      <formula1>"Regular,Self-Financing"</formula1>
    </dataValidation>
    <dataValidation type="list" allowBlank="1" sqref="R5:U34">
      <formula1>"Yes,No,NA"</formula1>
    </dataValidation>
  </dataValidations>
  <printOptions/>
  <pageMargins bottom="0.75" footer="0.0" header="0.0" left="0.7" right="0.7" top="0.7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3" width="17.0"/>
    <col customWidth="1" min="4" max="4" width="15.0"/>
    <col customWidth="1" min="5" max="5" width="14.0"/>
    <col customWidth="1" min="6" max="6" width="9.0"/>
    <col customWidth="1" min="7" max="7" width="24.0"/>
    <col customWidth="1" min="8" max="8" width="14.0"/>
    <col customWidth="1" min="9" max="9" width="22.0"/>
    <col customWidth="1" min="10" max="10" width="12.0"/>
    <col customWidth="1" min="11" max="11" width="13.0"/>
    <col customWidth="1" min="12" max="12" width="11.0"/>
    <col customWidth="1" min="13" max="13" width="13.0"/>
    <col customWidth="1" min="14" max="14" width="11.0"/>
    <col customWidth="1" min="15" max="16" width="9.0"/>
    <col customWidth="1" min="17" max="17" width="28.0"/>
    <col customWidth="1" min="18" max="18" width="9.0"/>
    <col customWidth="1" min="19" max="19" width="10.0"/>
    <col customWidth="1" min="20" max="20" width="9.0"/>
    <col customWidth="1" min="21" max="21" width="19.0"/>
    <col customWidth="1" min="22" max="22" width="11.0"/>
    <col customWidth="1" min="23" max="23" width="12.0"/>
    <col customWidth="1" min="24" max="25" width="16.0"/>
    <col customWidth="1" min="26" max="26" width="14.0"/>
    <col customWidth="1" min="27" max="28" width="11.0"/>
  </cols>
  <sheetData>
    <row r="1" ht="30.75" customHeight="1">
      <c r="A1" s="1"/>
      <c r="B1" s="3" t="s">
        <v>0</v>
      </c>
      <c r="C1" s="5" t="s">
        <v>3</v>
      </c>
      <c r="D1" s="8"/>
      <c r="E1" s="11"/>
      <c r="F1" s="14"/>
      <c r="G1" s="14"/>
      <c r="H1" s="14"/>
      <c r="I1" s="14"/>
      <c r="J1" s="17"/>
      <c r="K1" s="4" t="s">
        <v>4</v>
      </c>
      <c r="L1" s="7"/>
      <c r="M1" s="7"/>
      <c r="N1" s="10" t="s">
        <v>6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ht="30.75" customHeight="1">
      <c r="A2" s="1"/>
      <c r="B2" s="25" t="s">
        <v>22</v>
      </c>
      <c r="C2" s="27" t="s">
        <v>24</v>
      </c>
      <c r="D2" s="8"/>
      <c r="E2" s="8"/>
      <c r="F2" s="8"/>
      <c r="G2" s="8"/>
      <c r="H2" s="8"/>
      <c r="I2" s="11"/>
      <c r="J2" s="29"/>
      <c r="K2" s="31" t="s">
        <v>9</v>
      </c>
      <c r="L2" s="23"/>
      <c r="M2" s="23"/>
      <c r="N2" s="32">
        <v>46276.0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ht="53.25" customHeight="1">
      <c r="A3" s="33" t="s">
        <v>11</v>
      </c>
      <c r="B3" s="33" t="s">
        <v>29</v>
      </c>
      <c r="C3" s="33" t="s">
        <v>31</v>
      </c>
      <c r="D3" s="33" t="s">
        <v>33</v>
      </c>
      <c r="E3" s="33" t="s">
        <v>36</v>
      </c>
      <c r="F3" s="33" t="s">
        <v>39</v>
      </c>
      <c r="G3" s="33" t="s">
        <v>43</v>
      </c>
      <c r="H3" s="35" t="s">
        <v>47</v>
      </c>
      <c r="I3" s="11"/>
      <c r="J3" s="40" t="s">
        <v>51</v>
      </c>
      <c r="K3" s="8"/>
      <c r="L3" s="8"/>
      <c r="M3" s="8"/>
      <c r="N3" s="11"/>
      <c r="O3" s="40" t="s">
        <v>53</v>
      </c>
      <c r="P3" s="11"/>
      <c r="Q3" s="45" t="s">
        <v>54</v>
      </c>
      <c r="R3" s="40" t="s">
        <v>56</v>
      </c>
      <c r="S3" s="8"/>
      <c r="T3" s="11"/>
      <c r="U3" s="40" t="s">
        <v>62</v>
      </c>
      <c r="V3" s="8"/>
      <c r="W3" s="8"/>
      <c r="X3" s="8"/>
      <c r="Y3" s="8"/>
      <c r="Z3" s="11"/>
      <c r="AA3" s="40" t="s">
        <v>69</v>
      </c>
      <c r="AB3" s="11"/>
    </row>
    <row r="4" ht="53.25" customHeight="1">
      <c r="A4" s="49"/>
      <c r="B4" s="49"/>
      <c r="C4" s="49"/>
      <c r="D4" s="49"/>
      <c r="E4" s="49"/>
      <c r="F4" s="49"/>
      <c r="G4" s="49"/>
      <c r="H4" s="51" t="s">
        <v>78</v>
      </c>
      <c r="I4" s="51" t="s">
        <v>81</v>
      </c>
      <c r="J4" s="57" t="s">
        <v>83</v>
      </c>
      <c r="K4" s="8"/>
      <c r="L4" s="11"/>
      <c r="M4" s="57" t="s">
        <v>85</v>
      </c>
      <c r="N4" s="11"/>
      <c r="O4" s="51" t="s">
        <v>87</v>
      </c>
      <c r="P4" s="51" t="s">
        <v>89</v>
      </c>
      <c r="Q4" s="51" t="s">
        <v>91</v>
      </c>
      <c r="R4" s="51" t="s">
        <v>93</v>
      </c>
      <c r="S4" s="65" t="s">
        <v>95</v>
      </c>
      <c r="T4" s="65" t="s">
        <v>99</v>
      </c>
      <c r="U4" s="51" t="s">
        <v>102</v>
      </c>
      <c r="V4" s="65" t="s">
        <v>103</v>
      </c>
      <c r="W4" s="65" t="s">
        <v>104</v>
      </c>
      <c r="X4" s="65" t="s">
        <v>106</v>
      </c>
      <c r="Y4" s="65" t="s">
        <v>107</v>
      </c>
      <c r="Z4" s="65" t="s">
        <v>109</v>
      </c>
      <c r="AA4" s="51" t="s">
        <v>110</v>
      </c>
      <c r="AB4" s="65" t="s">
        <v>112</v>
      </c>
    </row>
    <row r="5" ht="53.25" customHeight="1">
      <c r="A5" s="44"/>
      <c r="B5" s="44"/>
      <c r="C5" s="44"/>
      <c r="D5" s="44"/>
      <c r="E5" s="44"/>
      <c r="F5" s="44"/>
      <c r="G5" s="44"/>
      <c r="H5" s="44"/>
      <c r="I5" s="44"/>
      <c r="J5" s="76" t="s">
        <v>113</v>
      </c>
      <c r="K5" s="76" t="s">
        <v>114</v>
      </c>
      <c r="L5" s="76" t="s">
        <v>115</v>
      </c>
      <c r="M5" s="76" t="s">
        <v>116</v>
      </c>
      <c r="N5" s="76" t="s">
        <v>117</v>
      </c>
      <c r="O5" s="44"/>
      <c r="P5" s="44"/>
      <c r="Q5" s="44"/>
      <c r="R5" s="44"/>
      <c r="S5" s="80"/>
      <c r="T5" s="80"/>
      <c r="U5" s="44"/>
      <c r="V5" s="80"/>
      <c r="W5" s="80"/>
      <c r="X5" s="80"/>
      <c r="Y5" s="80"/>
      <c r="Z5" s="80"/>
      <c r="AA5" s="44"/>
      <c r="AB5" s="80"/>
    </row>
    <row r="6" ht="15.75" customHeight="1">
      <c r="A6" s="82">
        <v>1.0</v>
      </c>
      <c r="B6" s="83" t="s">
        <v>6</v>
      </c>
      <c r="C6" s="83" t="s">
        <v>64</v>
      </c>
      <c r="D6" s="83" t="s">
        <v>82</v>
      </c>
      <c r="E6" s="84">
        <v>43866.0</v>
      </c>
      <c r="F6" s="83" t="s">
        <v>52</v>
      </c>
      <c r="G6" s="83" t="s">
        <v>27</v>
      </c>
      <c r="H6" s="85">
        <v>14.0</v>
      </c>
      <c r="I6" s="86" t="s">
        <v>120</v>
      </c>
      <c r="J6" s="88">
        <v>13.0</v>
      </c>
      <c r="K6" s="88">
        <v>0.0</v>
      </c>
      <c r="L6" s="88">
        <v>3.0</v>
      </c>
      <c r="M6" s="89">
        <v>2.0</v>
      </c>
      <c r="N6" s="89">
        <v>0.0</v>
      </c>
      <c r="O6" s="91">
        <v>21.0</v>
      </c>
      <c r="P6" s="91">
        <v>28.0</v>
      </c>
      <c r="Q6" s="99" t="s">
        <v>128</v>
      </c>
      <c r="R6" s="91">
        <v>0.0</v>
      </c>
      <c r="S6" s="91">
        <v>0.0</v>
      </c>
      <c r="T6" s="91">
        <v>0.0</v>
      </c>
      <c r="U6" s="100" t="s">
        <v>130</v>
      </c>
      <c r="V6" s="101">
        <v>2022.0</v>
      </c>
      <c r="W6" s="102">
        <v>3.0</v>
      </c>
      <c r="X6" s="103" t="s">
        <v>131</v>
      </c>
      <c r="Y6" s="103">
        <v>1000000.0</v>
      </c>
      <c r="Z6" s="100" t="s">
        <v>132</v>
      </c>
      <c r="AA6" s="88">
        <v>2.0</v>
      </c>
      <c r="AB6" s="88">
        <v>1.0</v>
      </c>
    </row>
    <row r="7" ht="15.75" customHeight="1">
      <c r="A7" s="82"/>
      <c r="B7" s="83"/>
      <c r="C7" s="83"/>
      <c r="D7" s="83"/>
      <c r="E7" s="84"/>
      <c r="F7" s="68"/>
      <c r="G7" s="68"/>
      <c r="H7" s="104"/>
      <c r="I7" s="86" t="s">
        <v>133</v>
      </c>
      <c r="J7" s="69"/>
      <c r="K7" s="69"/>
      <c r="L7" s="69"/>
      <c r="M7" s="105"/>
      <c r="N7" s="105"/>
      <c r="O7" s="69"/>
      <c r="P7" s="69"/>
      <c r="Q7" s="74"/>
      <c r="R7" s="69"/>
      <c r="S7" s="69"/>
      <c r="T7" s="69"/>
      <c r="U7" s="100" t="s">
        <v>134</v>
      </c>
      <c r="V7" s="101">
        <v>2022.0</v>
      </c>
      <c r="W7" s="102">
        <v>3.0</v>
      </c>
      <c r="X7" s="103" t="s">
        <v>135</v>
      </c>
      <c r="Y7" s="103">
        <v>1144000.0</v>
      </c>
      <c r="Z7" s="100" t="s">
        <v>132</v>
      </c>
      <c r="AA7" s="69"/>
      <c r="AB7" s="69"/>
    </row>
    <row r="8" ht="15.75" customHeight="1">
      <c r="A8" s="67" t="str">
        <f>IF(B8="","",ROW()-5)</f>
        <v/>
      </c>
      <c r="B8" s="83"/>
      <c r="C8" s="68"/>
      <c r="D8" s="68"/>
      <c r="E8" s="106"/>
      <c r="F8" s="68"/>
      <c r="G8" s="68"/>
      <c r="H8" s="104"/>
      <c r="I8" s="86" t="s">
        <v>136</v>
      </c>
      <c r="J8" s="69"/>
      <c r="K8" s="69"/>
      <c r="L8" s="69"/>
      <c r="M8" s="105"/>
      <c r="N8" s="105"/>
      <c r="O8" s="69"/>
      <c r="P8" s="69"/>
      <c r="Q8" s="74"/>
      <c r="R8" s="69"/>
      <c r="S8" s="69"/>
      <c r="T8" s="69"/>
      <c r="U8" s="100" t="s">
        <v>137</v>
      </c>
      <c r="V8" s="101">
        <v>2024.0</v>
      </c>
      <c r="W8" s="102">
        <v>1.0</v>
      </c>
      <c r="X8" s="103" t="s">
        <v>138</v>
      </c>
      <c r="Y8" s="103">
        <v>760000.0</v>
      </c>
      <c r="Z8" s="100" t="s">
        <v>132</v>
      </c>
      <c r="AA8" s="69"/>
      <c r="AB8" s="69"/>
    </row>
    <row r="9" ht="15.75" customHeight="1">
      <c r="A9" s="82"/>
      <c r="B9" s="83"/>
      <c r="C9" s="83"/>
      <c r="D9" s="83"/>
      <c r="E9" s="84"/>
      <c r="F9" s="83"/>
      <c r="G9" s="83"/>
      <c r="H9" s="107"/>
      <c r="I9" s="86" t="s">
        <v>139</v>
      </c>
      <c r="J9" s="88"/>
      <c r="K9" s="88"/>
      <c r="L9" s="88"/>
      <c r="M9" s="105"/>
      <c r="N9" s="105"/>
      <c r="O9" s="91"/>
      <c r="P9" s="91"/>
      <c r="Q9" s="100"/>
      <c r="R9" s="88"/>
      <c r="S9" s="88"/>
      <c r="T9" s="91"/>
      <c r="U9" s="100"/>
      <c r="V9" s="101"/>
      <c r="W9" s="102"/>
      <c r="X9" s="103"/>
      <c r="Y9" s="103"/>
      <c r="Z9" s="100"/>
      <c r="AA9" s="88"/>
      <c r="AB9" s="88"/>
    </row>
    <row r="10" ht="15.75" customHeight="1">
      <c r="A10" s="50">
        <v>2.0</v>
      </c>
      <c r="B10" s="52" t="s">
        <v>140</v>
      </c>
      <c r="C10" s="52" t="s">
        <v>64</v>
      </c>
      <c r="D10" s="52" t="s">
        <v>82</v>
      </c>
      <c r="E10" s="109">
        <v>43693.0</v>
      </c>
      <c r="F10" s="52" t="s">
        <v>52</v>
      </c>
      <c r="G10" s="52" t="s">
        <v>27</v>
      </c>
      <c r="H10" s="111">
        <v>18.0</v>
      </c>
      <c r="I10" s="112" t="s">
        <v>141</v>
      </c>
      <c r="J10" s="55">
        <v>15.0</v>
      </c>
      <c r="K10" s="55" t="s">
        <v>88</v>
      </c>
      <c r="L10" s="55" t="s">
        <v>88</v>
      </c>
      <c r="M10" s="114"/>
      <c r="N10" s="114"/>
      <c r="O10" s="61">
        <v>22.0</v>
      </c>
      <c r="P10" s="61">
        <v>28.0</v>
      </c>
      <c r="Q10" s="115" t="s">
        <v>142</v>
      </c>
      <c r="R10" s="55" t="s">
        <v>88</v>
      </c>
      <c r="S10" s="55" t="s">
        <v>88</v>
      </c>
      <c r="T10" s="61">
        <v>1.0</v>
      </c>
      <c r="U10" s="64" t="s">
        <v>143</v>
      </c>
      <c r="V10" s="116">
        <v>2022.0</v>
      </c>
      <c r="W10" s="117">
        <v>3.0</v>
      </c>
      <c r="X10" s="118" t="s">
        <v>144</v>
      </c>
      <c r="Y10" s="118" t="s">
        <v>145</v>
      </c>
      <c r="Z10" s="64" t="s">
        <v>146</v>
      </c>
      <c r="AA10" s="55">
        <v>2.0</v>
      </c>
      <c r="AB10" s="55" t="s">
        <v>88</v>
      </c>
    </row>
    <row r="11" ht="15.75" customHeight="1">
      <c r="A11" s="67" t="str">
        <f t="shared" ref="A11:A12" si="1">IF(B11="","",ROW()-5)</f>
        <v/>
      </c>
      <c r="B11" s="68"/>
      <c r="C11" s="68"/>
      <c r="D11" s="68"/>
      <c r="E11" s="106"/>
      <c r="F11" s="68"/>
      <c r="G11" s="68"/>
      <c r="H11" s="104"/>
      <c r="I11" s="112" t="s">
        <v>147</v>
      </c>
      <c r="J11" s="69"/>
      <c r="K11" s="69"/>
      <c r="L11" s="69"/>
      <c r="M11" s="105"/>
      <c r="N11" s="105"/>
      <c r="O11" s="69"/>
      <c r="P11" s="69"/>
      <c r="Q11" s="74"/>
      <c r="R11" s="69"/>
      <c r="S11" s="69"/>
      <c r="T11" s="69"/>
      <c r="U11" s="64" t="s">
        <v>148</v>
      </c>
      <c r="V11" s="116">
        <v>2022.0</v>
      </c>
      <c r="W11" s="117">
        <v>3.0</v>
      </c>
      <c r="X11" s="118" t="s">
        <v>149</v>
      </c>
      <c r="Y11" s="118" t="s">
        <v>149</v>
      </c>
      <c r="Z11" s="64" t="s">
        <v>132</v>
      </c>
      <c r="AA11" s="69"/>
      <c r="AB11" s="69"/>
    </row>
    <row r="12" ht="15.75" customHeight="1">
      <c r="A12" s="67" t="str">
        <f t="shared" si="1"/>
        <v/>
      </c>
      <c r="B12" s="68"/>
      <c r="C12" s="68"/>
      <c r="D12" s="68"/>
      <c r="E12" s="106"/>
      <c r="F12" s="68"/>
      <c r="G12" s="68"/>
      <c r="H12" s="104"/>
      <c r="I12" s="112" t="s">
        <v>150</v>
      </c>
      <c r="J12" s="69"/>
      <c r="K12" s="69"/>
      <c r="L12" s="69"/>
      <c r="M12" s="105"/>
      <c r="N12" s="105"/>
      <c r="O12" s="69"/>
      <c r="P12" s="69"/>
      <c r="Q12" s="74"/>
      <c r="R12" s="69"/>
      <c r="S12" s="69"/>
      <c r="T12" s="69"/>
      <c r="U12" s="64" t="s">
        <v>151</v>
      </c>
      <c r="V12" s="116">
        <v>2022.0</v>
      </c>
      <c r="W12" s="117">
        <v>1.0</v>
      </c>
      <c r="X12" s="118" t="s">
        <v>152</v>
      </c>
      <c r="Y12" s="118" t="s">
        <v>152</v>
      </c>
      <c r="Z12" s="64" t="s">
        <v>132</v>
      </c>
      <c r="AA12" s="69"/>
      <c r="AB12" s="69"/>
    </row>
    <row r="13" ht="15.75" customHeight="1">
      <c r="A13" s="67"/>
      <c r="B13" s="68"/>
      <c r="C13" s="68"/>
      <c r="D13" s="68"/>
      <c r="E13" s="106"/>
      <c r="F13" s="68"/>
      <c r="G13" s="68"/>
      <c r="H13" s="104"/>
      <c r="I13" s="112" t="s">
        <v>153</v>
      </c>
      <c r="J13" s="69"/>
      <c r="K13" s="69"/>
      <c r="L13" s="69"/>
      <c r="M13" s="105"/>
      <c r="N13" s="105"/>
      <c r="O13" s="69"/>
      <c r="P13" s="69"/>
      <c r="Q13" s="74"/>
      <c r="R13" s="69"/>
      <c r="S13" s="69"/>
      <c r="T13" s="69"/>
      <c r="U13" s="64" t="s">
        <v>154</v>
      </c>
      <c r="V13" s="116">
        <v>2022.0</v>
      </c>
      <c r="W13" s="117">
        <v>3.0</v>
      </c>
      <c r="X13" s="118" t="s">
        <v>135</v>
      </c>
      <c r="Y13" s="118" t="s">
        <v>135</v>
      </c>
      <c r="Z13" s="64" t="s">
        <v>132</v>
      </c>
      <c r="AA13" s="69"/>
      <c r="AB13" s="69"/>
    </row>
    <row r="14" ht="15.75" customHeight="1">
      <c r="A14" s="67" t="str">
        <f t="shared" ref="A14:A56" si="2">IF(B14="","",ROW()-5)</f>
        <v/>
      </c>
      <c r="B14" s="68"/>
      <c r="C14" s="68"/>
      <c r="D14" s="68"/>
      <c r="E14" s="106"/>
      <c r="F14" s="68"/>
      <c r="G14" s="68"/>
      <c r="H14" s="104"/>
      <c r="I14" s="112" t="s">
        <v>155</v>
      </c>
      <c r="J14" s="69"/>
      <c r="K14" s="69"/>
      <c r="L14" s="69"/>
      <c r="M14" s="105"/>
      <c r="N14" s="105"/>
      <c r="O14" s="69"/>
      <c r="P14" s="69"/>
      <c r="Q14" s="74"/>
      <c r="R14" s="69"/>
      <c r="S14" s="69"/>
      <c r="T14" s="69"/>
      <c r="U14" s="64" t="s">
        <v>156</v>
      </c>
      <c r="V14" s="116">
        <v>2023.0</v>
      </c>
      <c r="W14" s="117">
        <v>3.0</v>
      </c>
      <c r="X14" s="118">
        <v>45000.0</v>
      </c>
      <c r="Y14" s="118">
        <v>0.0</v>
      </c>
      <c r="Z14" s="64" t="s">
        <v>146</v>
      </c>
      <c r="AA14" s="69"/>
      <c r="AB14" s="69"/>
    </row>
    <row r="15" ht="15.75" customHeight="1">
      <c r="A15" s="67" t="str">
        <f t="shared" si="2"/>
        <v/>
      </c>
      <c r="B15" s="68"/>
      <c r="C15" s="68"/>
      <c r="D15" s="68"/>
      <c r="E15" s="106"/>
      <c r="F15" s="68"/>
      <c r="G15" s="68"/>
      <c r="H15" s="104"/>
      <c r="I15" s="112" t="s">
        <v>157</v>
      </c>
      <c r="J15" s="69"/>
      <c r="K15" s="69"/>
      <c r="L15" s="69"/>
      <c r="M15" s="105"/>
      <c r="N15" s="105"/>
      <c r="O15" s="69"/>
      <c r="P15" s="69"/>
      <c r="Q15" s="74"/>
      <c r="R15" s="69"/>
      <c r="S15" s="69"/>
      <c r="T15" s="69"/>
      <c r="U15" s="64" t="s">
        <v>158</v>
      </c>
      <c r="V15" s="116">
        <v>2024.0</v>
      </c>
      <c r="W15" s="117">
        <v>3.0</v>
      </c>
      <c r="X15" s="118" t="s">
        <v>159</v>
      </c>
      <c r="Y15" s="118" t="s">
        <v>160</v>
      </c>
      <c r="Z15" s="64" t="s">
        <v>146</v>
      </c>
      <c r="AA15" s="69"/>
      <c r="AB15" s="69"/>
    </row>
    <row r="16" ht="15.75" customHeight="1">
      <c r="A16" s="67" t="str">
        <f t="shared" si="2"/>
        <v/>
      </c>
      <c r="B16" s="68"/>
      <c r="C16" s="68"/>
      <c r="D16" s="68"/>
      <c r="E16" s="106"/>
      <c r="F16" s="68"/>
      <c r="G16" s="68"/>
      <c r="H16" s="104"/>
      <c r="I16" s="119"/>
      <c r="J16" s="69"/>
      <c r="K16" s="69"/>
      <c r="L16" s="69"/>
      <c r="M16" s="105"/>
      <c r="N16" s="105"/>
      <c r="O16" s="69"/>
      <c r="P16" s="69"/>
      <c r="Q16" s="74"/>
      <c r="R16" s="69"/>
      <c r="S16" s="69"/>
      <c r="T16" s="69"/>
      <c r="U16" s="64" t="s">
        <v>134</v>
      </c>
      <c r="V16" s="116">
        <v>2024.0</v>
      </c>
      <c r="W16" s="117">
        <v>3.0</v>
      </c>
      <c r="X16" s="118" t="s">
        <v>161</v>
      </c>
      <c r="Y16" s="118" t="s">
        <v>162</v>
      </c>
      <c r="Z16" s="64" t="s">
        <v>146</v>
      </c>
      <c r="AA16" s="69"/>
      <c r="AB16" s="69"/>
    </row>
    <row r="17" ht="15.75" customHeight="1">
      <c r="A17" s="67" t="str">
        <f t="shared" si="2"/>
        <v/>
      </c>
      <c r="B17" s="68"/>
      <c r="C17" s="68"/>
      <c r="D17" s="68"/>
      <c r="E17" s="106"/>
      <c r="F17" s="68"/>
      <c r="G17" s="68"/>
      <c r="H17" s="104"/>
      <c r="I17" s="119"/>
      <c r="J17" s="69"/>
      <c r="K17" s="69"/>
      <c r="L17" s="69"/>
      <c r="M17" s="105"/>
      <c r="N17" s="105"/>
      <c r="O17" s="69"/>
      <c r="P17" s="69"/>
      <c r="Q17" s="74"/>
      <c r="R17" s="69"/>
      <c r="S17" s="69"/>
      <c r="T17" s="69"/>
      <c r="U17" s="64" t="s">
        <v>163</v>
      </c>
      <c r="V17" s="116">
        <v>2025.0</v>
      </c>
      <c r="W17" s="117">
        <v>4.0</v>
      </c>
      <c r="X17" s="118" t="s">
        <v>164</v>
      </c>
      <c r="Y17" s="120"/>
      <c r="Z17" s="64" t="s">
        <v>146</v>
      </c>
      <c r="AA17" s="69"/>
      <c r="AB17" s="69"/>
    </row>
    <row r="18" ht="15.75" customHeight="1">
      <c r="A18" s="67" t="str">
        <f t="shared" si="2"/>
        <v/>
      </c>
      <c r="B18" s="68"/>
      <c r="C18" s="68"/>
      <c r="D18" s="68"/>
      <c r="E18" s="106"/>
      <c r="F18" s="68"/>
      <c r="G18" s="68"/>
      <c r="H18" s="104"/>
      <c r="I18" s="119"/>
      <c r="J18" s="69"/>
      <c r="K18" s="69"/>
      <c r="L18" s="69"/>
      <c r="M18" s="105"/>
      <c r="N18" s="105"/>
      <c r="O18" s="69"/>
      <c r="P18" s="69"/>
      <c r="Q18" s="74"/>
      <c r="R18" s="69"/>
      <c r="S18" s="69"/>
      <c r="T18" s="69"/>
      <c r="U18" s="74"/>
      <c r="V18" s="121"/>
      <c r="W18" s="121"/>
      <c r="X18" s="122"/>
      <c r="Y18" s="122"/>
      <c r="Z18" s="74"/>
      <c r="AA18" s="69"/>
      <c r="AB18" s="69"/>
    </row>
    <row r="19" ht="15.75" customHeight="1">
      <c r="A19" s="67" t="str">
        <f t="shared" si="2"/>
        <v/>
      </c>
      <c r="B19" s="68"/>
      <c r="C19" s="68"/>
      <c r="D19" s="68"/>
      <c r="E19" s="106"/>
      <c r="F19" s="68"/>
      <c r="G19" s="68"/>
      <c r="H19" s="104"/>
      <c r="I19" s="119"/>
      <c r="J19" s="69"/>
      <c r="K19" s="69"/>
      <c r="L19" s="69"/>
      <c r="M19" s="105"/>
      <c r="N19" s="105"/>
      <c r="O19" s="69"/>
      <c r="P19" s="69"/>
      <c r="Q19" s="74"/>
      <c r="R19" s="69"/>
      <c r="S19" s="69"/>
      <c r="T19" s="69"/>
      <c r="U19" s="74"/>
      <c r="V19" s="121"/>
      <c r="W19" s="121"/>
      <c r="X19" s="122"/>
      <c r="Y19" s="122"/>
      <c r="Z19" s="74"/>
      <c r="AA19" s="69"/>
      <c r="AB19" s="69"/>
    </row>
    <row r="20" ht="15.75" customHeight="1">
      <c r="A20" s="67" t="str">
        <f t="shared" si="2"/>
        <v/>
      </c>
      <c r="B20" s="68"/>
      <c r="C20" s="68"/>
      <c r="D20" s="68"/>
      <c r="E20" s="106"/>
      <c r="F20" s="68"/>
      <c r="G20" s="68"/>
      <c r="H20" s="104"/>
      <c r="I20" s="119"/>
      <c r="J20" s="69"/>
      <c r="K20" s="69"/>
      <c r="L20" s="69"/>
      <c r="M20" s="105"/>
      <c r="N20" s="105"/>
      <c r="O20" s="69"/>
      <c r="P20" s="69"/>
      <c r="Q20" s="74"/>
      <c r="R20" s="69"/>
      <c r="S20" s="69"/>
      <c r="T20" s="69"/>
      <c r="U20" s="74"/>
      <c r="V20" s="121"/>
      <c r="W20" s="121"/>
      <c r="X20" s="122"/>
      <c r="Y20" s="122"/>
      <c r="Z20" s="74"/>
      <c r="AA20" s="69"/>
      <c r="AB20" s="69"/>
    </row>
    <row r="21" ht="15.75" customHeight="1">
      <c r="A21" s="67" t="str">
        <f t="shared" si="2"/>
        <v/>
      </c>
      <c r="B21" s="68"/>
      <c r="C21" s="68"/>
      <c r="D21" s="68"/>
      <c r="E21" s="106"/>
      <c r="F21" s="68"/>
      <c r="G21" s="68"/>
      <c r="H21" s="104"/>
      <c r="I21" s="119"/>
      <c r="J21" s="69"/>
      <c r="K21" s="69"/>
      <c r="L21" s="69"/>
      <c r="M21" s="105"/>
      <c r="N21" s="105"/>
      <c r="O21" s="69"/>
      <c r="P21" s="69"/>
      <c r="Q21" s="74"/>
      <c r="R21" s="69"/>
      <c r="S21" s="69"/>
      <c r="T21" s="69"/>
      <c r="U21" s="74"/>
      <c r="V21" s="121"/>
      <c r="W21" s="121"/>
      <c r="X21" s="122"/>
      <c r="Y21" s="122"/>
      <c r="Z21" s="74"/>
      <c r="AA21" s="69"/>
      <c r="AB21" s="69"/>
    </row>
    <row r="22" ht="15.75" customHeight="1">
      <c r="A22" s="67" t="str">
        <f t="shared" si="2"/>
        <v/>
      </c>
      <c r="B22" s="68"/>
      <c r="C22" s="68"/>
      <c r="D22" s="68"/>
      <c r="E22" s="106"/>
      <c r="F22" s="68"/>
      <c r="G22" s="68"/>
      <c r="H22" s="104"/>
      <c r="I22" s="119"/>
      <c r="J22" s="69"/>
      <c r="K22" s="69"/>
      <c r="L22" s="69"/>
      <c r="M22" s="105"/>
      <c r="N22" s="105"/>
      <c r="O22" s="69"/>
      <c r="P22" s="69"/>
      <c r="Q22" s="74"/>
      <c r="R22" s="69"/>
      <c r="S22" s="69"/>
      <c r="T22" s="69"/>
      <c r="U22" s="74"/>
      <c r="V22" s="121"/>
      <c r="W22" s="121"/>
      <c r="X22" s="122"/>
      <c r="Y22" s="122"/>
      <c r="Z22" s="74"/>
      <c r="AA22" s="69"/>
      <c r="AB22" s="69"/>
    </row>
    <row r="23" ht="15.75" customHeight="1">
      <c r="A23" s="67" t="str">
        <f t="shared" si="2"/>
        <v/>
      </c>
      <c r="B23" s="68"/>
      <c r="C23" s="68"/>
      <c r="D23" s="68"/>
      <c r="E23" s="106"/>
      <c r="F23" s="68"/>
      <c r="G23" s="68"/>
      <c r="H23" s="104"/>
      <c r="I23" s="119"/>
      <c r="J23" s="69"/>
      <c r="K23" s="69"/>
      <c r="L23" s="69"/>
      <c r="M23" s="105"/>
      <c r="N23" s="105"/>
      <c r="O23" s="69"/>
      <c r="P23" s="69"/>
      <c r="Q23" s="74"/>
      <c r="R23" s="69"/>
      <c r="S23" s="69"/>
      <c r="T23" s="69"/>
      <c r="U23" s="74"/>
      <c r="V23" s="121"/>
      <c r="W23" s="121"/>
      <c r="X23" s="122"/>
      <c r="Y23" s="122"/>
      <c r="Z23" s="74"/>
      <c r="AA23" s="69"/>
      <c r="AB23" s="69"/>
    </row>
    <row r="24" ht="15.75" customHeight="1">
      <c r="A24" s="67" t="str">
        <f t="shared" si="2"/>
        <v/>
      </c>
      <c r="B24" s="68"/>
      <c r="C24" s="68"/>
      <c r="D24" s="68"/>
      <c r="E24" s="106"/>
      <c r="F24" s="68"/>
      <c r="G24" s="68"/>
      <c r="H24" s="104"/>
      <c r="I24" s="119"/>
      <c r="J24" s="69"/>
      <c r="K24" s="69"/>
      <c r="L24" s="69"/>
      <c r="M24" s="105"/>
      <c r="N24" s="105"/>
      <c r="O24" s="69"/>
      <c r="P24" s="69"/>
      <c r="Q24" s="74"/>
      <c r="R24" s="69"/>
      <c r="S24" s="69"/>
      <c r="T24" s="69"/>
      <c r="U24" s="74"/>
      <c r="V24" s="121"/>
      <c r="W24" s="121"/>
      <c r="X24" s="122"/>
      <c r="Y24" s="122"/>
      <c r="Z24" s="74"/>
      <c r="AA24" s="69"/>
      <c r="AB24" s="69"/>
    </row>
    <row r="25" ht="15.75" customHeight="1">
      <c r="A25" s="67" t="str">
        <f t="shared" si="2"/>
        <v/>
      </c>
      <c r="B25" s="68"/>
      <c r="C25" s="68"/>
      <c r="D25" s="68"/>
      <c r="E25" s="106"/>
      <c r="F25" s="68"/>
      <c r="G25" s="68"/>
      <c r="H25" s="104"/>
      <c r="I25" s="119"/>
      <c r="J25" s="69"/>
      <c r="K25" s="69"/>
      <c r="L25" s="69"/>
      <c r="M25" s="105"/>
      <c r="N25" s="105"/>
      <c r="O25" s="69"/>
      <c r="P25" s="69"/>
      <c r="Q25" s="74"/>
      <c r="R25" s="69"/>
      <c r="S25" s="69"/>
      <c r="T25" s="69"/>
      <c r="U25" s="74"/>
      <c r="V25" s="121"/>
      <c r="W25" s="121"/>
      <c r="X25" s="122"/>
      <c r="Y25" s="122"/>
      <c r="Z25" s="74"/>
      <c r="AA25" s="69"/>
      <c r="AB25" s="69"/>
    </row>
    <row r="26" ht="15.75" customHeight="1">
      <c r="A26" s="67" t="str">
        <f t="shared" si="2"/>
        <v/>
      </c>
      <c r="B26" s="68"/>
      <c r="C26" s="68"/>
      <c r="D26" s="68"/>
      <c r="E26" s="106"/>
      <c r="F26" s="68"/>
      <c r="G26" s="68"/>
      <c r="H26" s="104"/>
      <c r="I26" s="119"/>
      <c r="J26" s="69"/>
      <c r="K26" s="69"/>
      <c r="L26" s="69"/>
      <c r="M26" s="105"/>
      <c r="N26" s="105"/>
      <c r="O26" s="69"/>
      <c r="P26" s="69"/>
      <c r="Q26" s="74"/>
      <c r="R26" s="69"/>
      <c r="S26" s="69"/>
      <c r="T26" s="69"/>
      <c r="U26" s="74"/>
      <c r="V26" s="121"/>
      <c r="W26" s="121"/>
      <c r="X26" s="122"/>
      <c r="Y26" s="122"/>
      <c r="Z26" s="74"/>
      <c r="AA26" s="69"/>
      <c r="AB26" s="69"/>
    </row>
    <row r="27" ht="15.75" customHeight="1">
      <c r="A27" s="75" t="str">
        <f t="shared" si="2"/>
        <v/>
      </c>
      <c r="B27" s="77"/>
      <c r="C27" s="77"/>
      <c r="D27" s="77"/>
      <c r="E27" s="96"/>
      <c r="F27" s="77"/>
      <c r="G27" s="77"/>
      <c r="H27" s="78"/>
      <c r="I27" s="77"/>
      <c r="J27" s="78"/>
      <c r="K27" s="78"/>
      <c r="L27" s="78"/>
      <c r="M27" s="78"/>
      <c r="N27" s="78"/>
      <c r="O27" s="78"/>
      <c r="P27" s="78"/>
      <c r="Q27" s="77"/>
      <c r="R27" s="78"/>
      <c r="S27" s="78"/>
      <c r="T27" s="78"/>
      <c r="U27" s="77"/>
      <c r="V27" s="78"/>
      <c r="W27" s="78"/>
      <c r="X27" s="93"/>
      <c r="Y27" s="93"/>
      <c r="Z27" s="77"/>
      <c r="AA27" s="78"/>
      <c r="AB27" s="123"/>
    </row>
    <row r="28" ht="15.75" customHeight="1">
      <c r="A28" s="75" t="str">
        <f t="shared" si="2"/>
        <v/>
      </c>
      <c r="B28" s="77"/>
      <c r="C28" s="77"/>
      <c r="D28" s="77"/>
      <c r="E28" s="96"/>
      <c r="F28" s="77"/>
      <c r="G28" s="77"/>
      <c r="H28" s="78"/>
      <c r="I28" s="77"/>
      <c r="J28" s="78"/>
      <c r="K28" s="78"/>
      <c r="L28" s="78"/>
      <c r="M28" s="78"/>
      <c r="N28" s="78"/>
      <c r="O28" s="78"/>
      <c r="P28" s="78"/>
      <c r="Q28" s="77"/>
      <c r="R28" s="78"/>
      <c r="S28" s="78"/>
      <c r="T28" s="78"/>
      <c r="U28" s="77"/>
      <c r="V28" s="78"/>
      <c r="W28" s="78"/>
      <c r="X28" s="93"/>
      <c r="Y28" s="93"/>
      <c r="Z28" s="77"/>
      <c r="AA28" s="78"/>
      <c r="AB28" s="123"/>
    </row>
    <row r="29" ht="15.75" customHeight="1">
      <c r="A29" s="75" t="str">
        <f t="shared" si="2"/>
        <v/>
      </c>
      <c r="B29" s="77"/>
      <c r="C29" s="77"/>
      <c r="D29" s="77"/>
      <c r="E29" s="96"/>
      <c r="F29" s="77"/>
      <c r="G29" s="77"/>
      <c r="H29" s="78"/>
      <c r="I29" s="77"/>
      <c r="J29" s="78"/>
      <c r="K29" s="78"/>
      <c r="L29" s="78"/>
      <c r="M29" s="78"/>
      <c r="N29" s="78"/>
      <c r="O29" s="78"/>
      <c r="P29" s="78"/>
      <c r="Q29" s="77"/>
      <c r="R29" s="78"/>
      <c r="S29" s="78"/>
      <c r="T29" s="78"/>
      <c r="U29" s="77"/>
      <c r="V29" s="78"/>
      <c r="W29" s="78"/>
      <c r="X29" s="93"/>
      <c r="Y29" s="93"/>
      <c r="Z29" s="77"/>
      <c r="AA29" s="78"/>
      <c r="AB29" s="123"/>
    </row>
    <row r="30" ht="15.75" customHeight="1">
      <c r="A30" s="75" t="str">
        <f t="shared" si="2"/>
        <v/>
      </c>
      <c r="B30" s="77"/>
      <c r="C30" s="77"/>
      <c r="D30" s="77"/>
      <c r="E30" s="96"/>
      <c r="F30" s="77"/>
      <c r="G30" s="77"/>
      <c r="H30" s="78"/>
      <c r="I30" s="77"/>
      <c r="J30" s="78"/>
      <c r="K30" s="78"/>
      <c r="L30" s="78"/>
      <c r="M30" s="78"/>
      <c r="N30" s="78"/>
      <c r="O30" s="78"/>
      <c r="P30" s="78"/>
      <c r="Q30" s="77"/>
      <c r="R30" s="78"/>
      <c r="S30" s="78"/>
      <c r="T30" s="78"/>
      <c r="U30" s="77"/>
      <c r="V30" s="78"/>
      <c r="W30" s="78"/>
      <c r="X30" s="93"/>
      <c r="Y30" s="93"/>
      <c r="Z30" s="77"/>
      <c r="AA30" s="78"/>
      <c r="AB30" s="123"/>
    </row>
    <row r="31" ht="15.75" customHeight="1">
      <c r="A31" s="75" t="str">
        <f t="shared" si="2"/>
        <v/>
      </c>
      <c r="B31" s="77"/>
      <c r="C31" s="77"/>
      <c r="D31" s="77"/>
      <c r="E31" s="96"/>
      <c r="F31" s="77"/>
      <c r="G31" s="77"/>
      <c r="H31" s="78"/>
      <c r="I31" s="77"/>
      <c r="J31" s="78"/>
      <c r="K31" s="78"/>
      <c r="L31" s="78"/>
      <c r="M31" s="78"/>
      <c r="N31" s="78"/>
      <c r="O31" s="78"/>
      <c r="P31" s="78"/>
      <c r="Q31" s="77"/>
      <c r="R31" s="78"/>
      <c r="S31" s="78"/>
      <c r="T31" s="78"/>
      <c r="U31" s="77"/>
      <c r="V31" s="78"/>
      <c r="W31" s="78"/>
      <c r="X31" s="93"/>
      <c r="Y31" s="93"/>
      <c r="Z31" s="77"/>
      <c r="AA31" s="78"/>
      <c r="AB31" s="123"/>
    </row>
    <row r="32" ht="15.75" customHeight="1">
      <c r="A32" s="75" t="str">
        <f t="shared" si="2"/>
        <v/>
      </c>
      <c r="B32" s="77"/>
      <c r="C32" s="77"/>
      <c r="D32" s="77"/>
      <c r="E32" s="96"/>
      <c r="F32" s="77"/>
      <c r="G32" s="77"/>
      <c r="H32" s="78"/>
      <c r="I32" s="77"/>
      <c r="J32" s="78"/>
      <c r="K32" s="78"/>
      <c r="L32" s="78"/>
      <c r="M32" s="78"/>
      <c r="N32" s="78"/>
      <c r="O32" s="78"/>
      <c r="P32" s="78"/>
      <c r="Q32" s="77"/>
      <c r="R32" s="78"/>
      <c r="S32" s="78"/>
      <c r="T32" s="78"/>
      <c r="U32" s="77"/>
      <c r="V32" s="78"/>
      <c r="W32" s="78"/>
      <c r="X32" s="93"/>
      <c r="Y32" s="93"/>
      <c r="Z32" s="77"/>
      <c r="AA32" s="78"/>
      <c r="AB32" s="123"/>
    </row>
    <row r="33" ht="15.75" customHeight="1">
      <c r="A33" s="75" t="str">
        <f t="shared" si="2"/>
        <v/>
      </c>
      <c r="B33" s="77"/>
      <c r="C33" s="77"/>
      <c r="D33" s="77"/>
      <c r="E33" s="96"/>
      <c r="F33" s="77"/>
      <c r="G33" s="77"/>
      <c r="H33" s="78"/>
      <c r="I33" s="77"/>
      <c r="J33" s="78"/>
      <c r="K33" s="78"/>
      <c r="L33" s="78"/>
      <c r="M33" s="78"/>
      <c r="N33" s="78"/>
      <c r="O33" s="78"/>
      <c r="P33" s="78"/>
      <c r="Q33" s="77"/>
      <c r="R33" s="78"/>
      <c r="S33" s="78"/>
      <c r="T33" s="78"/>
      <c r="U33" s="77"/>
      <c r="V33" s="78"/>
      <c r="W33" s="78"/>
      <c r="X33" s="93"/>
      <c r="Y33" s="93"/>
      <c r="Z33" s="77"/>
      <c r="AA33" s="78"/>
      <c r="AB33" s="123"/>
    </row>
    <row r="34" ht="15.75" customHeight="1">
      <c r="A34" s="75" t="str">
        <f t="shared" si="2"/>
        <v/>
      </c>
      <c r="B34" s="77"/>
      <c r="C34" s="77"/>
      <c r="D34" s="77"/>
      <c r="E34" s="96"/>
      <c r="F34" s="77"/>
      <c r="G34" s="77"/>
      <c r="H34" s="78"/>
      <c r="I34" s="77"/>
      <c r="J34" s="78"/>
      <c r="K34" s="78"/>
      <c r="L34" s="78"/>
      <c r="M34" s="78"/>
      <c r="N34" s="78"/>
      <c r="O34" s="78"/>
      <c r="P34" s="78"/>
      <c r="Q34" s="77"/>
      <c r="R34" s="78"/>
      <c r="S34" s="78"/>
      <c r="T34" s="78"/>
      <c r="U34" s="77"/>
      <c r="V34" s="78"/>
      <c r="W34" s="78"/>
      <c r="X34" s="93"/>
      <c r="Y34" s="93"/>
      <c r="Z34" s="77"/>
      <c r="AA34" s="78"/>
      <c r="AB34" s="123"/>
    </row>
    <row r="35" ht="15.75" customHeight="1">
      <c r="A35" s="75" t="str">
        <f t="shared" si="2"/>
        <v/>
      </c>
      <c r="B35" s="77"/>
      <c r="C35" s="77"/>
      <c r="D35" s="77"/>
      <c r="E35" s="96"/>
      <c r="F35" s="77"/>
      <c r="G35" s="77"/>
      <c r="H35" s="78"/>
      <c r="I35" s="77"/>
      <c r="J35" s="78"/>
      <c r="K35" s="78"/>
      <c r="L35" s="78"/>
      <c r="M35" s="78"/>
      <c r="N35" s="78"/>
      <c r="O35" s="78"/>
      <c r="P35" s="78"/>
      <c r="Q35" s="77"/>
      <c r="R35" s="78"/>
      <c r="S35" s="78"/>
      <c r="T35" s="78"/>
      <c r="U35" s="77"/>
      <c r="V35" s="78"/>
      <c r="W35" s="78"/>
      <c r="X35" s="93"/>
      <c r="Y35" s="93"/>
      <c r="Z35" s="77"/>
      <c r="AA35" s="78"/>
      <c r="AB35" s="123"/>
    </row>
    <row r="36" ht="15.75" customHeight="1">
      <c r="A36" s="75" t="str">
        <f t="shared" si="2"/>
        <v/>
      </c>
      <c r="B36" s="77"/>
      <c r="C36" s="77"/>
      <c r="D36" s="77"/>
      <c r="E36" s="96"/>
      <c r="F36" s="77"/>
      <c r="G36" s="77"/>
      <c r="H36" s="78"/>
      <c r="I36" s="77"/>
      <c r="J36" s="78"/>
      <c r="K36" s="78"/>
      <c r="L36" s="78"/>
      <c r="M36" s="78"/>
      <c r="N36" s="78"/>
      <c r="O36" s="78"/>
      <c r="P36" s="78"/>
      <c r="Q36" s="77"/>
      <c r="R36" s="78"/>
      <c r="S36" s="78"/>
      <c r="T36" s="78"/>
      <c r="U36" s="77"/>
      <c r="V36" s="78"/>
      <c r="W36" s="78"/>
      <c r="X36" s="93"/>
      <c r="Y36" s="93"/>
      <c r="Z36" s="77"/>
      <c r="AA36" s="78"/>
      <c r="AB36" s="123"/>
    </row>
    <row r="37" ht="15.75" customHeight="1">
      <c r="A37" s="75" t="str">
        <f t="shared" si="2"/>
        <v/>
      </c>
      <c r="B37" s="77"/>
      <c r="C37" s="77"/>
      <c r="D37" s="77"/>
      <c r="E37" s="96"/>
      <c r="F37" s="77"/>
      <c r="G37" s="77"/>
      <c r="H37" s="78"/>
      <c r="I37" s="77"/>
      <c r="J37" s="78"/>
      <c r="K37" s="78"/>
      <c r="L37" s="78"/>
      <c r="M37" s="78"/>
      <c r="N37" s="78"/>
      <c r="O37" s="78"/>
      <c r="P37" s="78"/>
      <c r="Q37" s="77"/>
      <c r="R37" s="78"/>
      <c r="S37" s="78"/>
      <c r="T37" s="78"/>
      <c r="U37" s="77"/>
      <c r="V37" s="78"/>
      <c r="W37" s="78"/>
      <c r="X37" s="93"/>
      <c r="Y37" s="93"/>
      <c r="Z37" s="77"/>
      <c r="AA37" s="78"/>
      <c r="AB37" s="123"/>
    </row>
    <row r="38" ht="15.75" customHeight="1">
      <c r="A38" s="75" t="str">
        <f t="shared" si="2"/>
        <v/>
      </c>
      <c r="B38" s="77"/>
      <c r="C38" s="77"/>
      <c r="D38" s="77"/>
      <c r="E38" s="96"/>
      <c r="F38" s="77"/>
      <c r="G38" s="77"/>
      <c r="H38" s="78"/>
      <c r="I38" s="77"/>
      <c r="J38" s="78"/>
      <c r="K38" s="78"/>
      <c r="L38" s="78"/>
      <c r="M38" s="78"/>
      <c r="N38" s="78"/>
      <c r="O38" s="78"/>
      <c r="P38" s="78"/>
      <c r="Q38" s="77"/>
      <c r="R38" s="78"/>
      <c r="S38" s="78"/>
      <c r="T38" s="78"/>
      <c r="U38" s="77"/>
      <c r="V38" s="78"/>
      <c r="W38" s="78"/>
      <c r="X38" s="93"/>
      <c r="Y38" s="93"/>
      <c r="Z38" s="77"/>
      <c r="AA38" s="78"/>
      <c r="AB38" s="123"/>
    </row>
    <row r="39" ht="15.75" customHeight="1">
      <c r="A39" s="75" t="str">
        <f t="shared" si="2"/>
        <v/>
      </c>
      <c r="B39" s="77"/>
      <c r="C39" s="77"/>
      <c r="D39" s="77"/>
      <c r="E39" s="96"/>
      <c r="F39" s="77"/>
      <c r="G39" s="77"/>
      <c r="H39" s="78"/>
      <c r="I39" s="77"/>
      <c r="J39" s="78"/>
      <c r="K39" s="78"/>
      <c r="L39" s="78"/>
      <c r="M39" s="78"/>
      <c r="N39" s="78"/>
      <c r="O39" s="78"/>
      <c r="P39" s="78"/>
      <c r="Q39" s="77"/>
      <c r="R39" s="78"/>
      <c r="S39" s="78"/>
      <c r="T39" s="78"/>
      <c r="U39" s="77"/>
      <c r="V39" s="78"/>
      <c r="W39" s="78"/>
      <c r="X39" s="93"/>
      <c r="Y39" s="93"/>
      <c r="Z39" s="77"/>
      <c r="AA39" s="78"/>
      <c r="AB39" s="123"/>
    </row>
    <row r="40" ht="15.75" customHeight="1">
      <c r="A40" s="75" t="str">
        <f t="shared" si="2"/>
        <v/>
      </c>
      <c r="B40" s="77"/>
      <c r="C40" s="77"/>
      <c r="D40" s="77"/>
      <c r="E40" s="96"/>
      <c r="F40" s="77"/>
      <c r="G40" s="77"/>
      <c r="H40" s="78"/>
      <c r="I40" s="77"/>
      <c r="J40" s="78"/>
      <c r="K40" s="78"/>
      <c r="L40" s="78"/>
      <c r="M40" s="78"/>
      <c r="N40" s="78"/>
      <c r="O40" s="78"/>
      <c r="P40" s="78"/>
      <c r="Q40" s="77"/>
      <c r="R40" s="78"/>
      <c r="S40" s="78"/>
      <c r="T40" s="78"/>
      <c r="U40" s="77"/>
      <c r="V40" s="78"/>
      <c r="W40" s="78"/>
      <c r="X40" s="93"/>
      <c r="Y40" s="93"/>
      <c r="Z40" s="77"/>
      <c r="AA40" s="78"/>
      <c r="AB40" s="123"/>
    </row>
    <row r="41" ht="15.75" customHeight="1">
      <c r="A41" s="75" t="str">
        <f t="shared" si="2"/>
        <v/>
      </c>
      <c r="B41" s="77"/>
      <c r="C41" s="77"/>
      <c r="D41" s="77"/>
      <c r="E41" s="96"/>
      <c r="F41" s="77"/>
      <c r="G41" s="77"/>
      <c r="H41" s="78"/>
      <c r="I41" s="77"/>
      <c r="J41" s="78"/>
      <c r="K41" s="78"/>
      <c r="L41" s="78"/>
      <c r="M41" s="78"/>
      <c r="N41" s="78"/>
      <c r="O41" s="78"/>
      <c r="P41" s="78"/>
      <c r="Q41" s="77"/>
      <c r="R41" s="78"/>
      <c r="S41" s="78"/>
      <c r="T41" s="78"/>
      <c r="U41" s="77"/>
      <c r="V41" s="78"/>
      <c r="W41" s="78"/>
      <c r="X41" s="93"/>
      <c r="Y41" s="93"/>
      <c r="Z41" s="77"/>
      <c r="AA41" s="78"/>
      <c r="AB41" s="123"/>
    </row>
    <row r="42" ht="15.75" customHeight="1">
      <c r="A42" s="75" t="str">
        <f t="shared" si="2"/>
        <v/>
      </c>
      <c r="B42" s="77"/>
      <c r="C42" s="77"/>
      <c r="D42" s="77"/>
      <c r="E42" s="96"/>
      <c r="F42" s="77"/>
      <c r="G42" s="77"/>
      <c r="H42" s="78"/>
      <c r="I42" s="77"/>
      <c r="J42" s="78"/>
      <c r="K42" s="78"/>
      <c r="L42" s="78"/>
      <c r="M42" s="78"/>
      <c r="N42" s="78"/>
      <c r="O42" s="78"/>
      <c r="P42" s="78"/>
      <c r="Q42" s="77"/>
      <c r="R42" s="78"/>
      <c r="S42" s="78"/>
      <c r="T42" s="78"/>
      <c r="U42" s="77"/>
      <c r="V42" s="78"/>
      <c r="W42" s="78"/>
      <c r="X42" s="93"/>
      <c r="Y42" s="93"/>
      <c r="Z42" s="77"/>
      <c r="AA42" s="78"/>
      <c r="AB42" s="123"/>
    </row>
    <row r="43" ht="15.75" customHeight="1">
      <c r="A43" s="75" t="str">
        <f t="shared" si="2"/>
        <v/>
      </c>
      <c r="B43" s="77"/>
      <c r="C43" s="77"/>
      <c r="D43" s="77"/>
      <c r="E43" s="96"/>
      <c r="F43" s="77"/>
      <c r="G43" s="77"/>
      <c r="H43" s="78"/>
      <c r="I43" s="77"/>
      <c r="J43" s="78"/>
      <c r="K43" s="78"/>
      <c r="L43" s="78"/>
      <c r="M43" s="78"/>
      <c r="N43" s="78"/>
      <c r="O43" s="78"/>
      <c r="P43" s="78"/>
      <c r="Q43" s="77"/>
      <c r="R43" s="78"/>
      <c r="S43" s="78"/>
      <c r="T43" s="78"/>
      <c r="U43" s="77"/>
      <c r="V43" s="78"/>
      <c r="W43" s="78"/>
      <c r="X43" s="93"/>
      <c r="Y43" s="93"/>
      <c r="Z43" s="77"/>
      <c r="AA43" s="78"/>
      <c r="AB43" s="123"/>
    </row>
    <row r="44" ht="15.75" customHeight="1">
      <c r="A44" s="75" t="str">
        <f t="shared" si="2"/>
        <v/>
      </c>
      <c r="B44" s="77"/>
      <c r="C44" s="77"/>
      <c r="D44" s="77"/>
      <c r="E44" s="96"/>
      <c r="F44" s="77"/>
      <c r="G44" s="77"/>
      <c r="H44" s="78"/>
      <c r="I44" s="77"/>
      <c r="J44" s="78"/>
      <c r="K44" s="78"/>
      <c r="L44" s="78"/>
      <c r="M44" s="78"/>
      <c r="N44" s="78"/>
      <c r="O44" s="78"/>
      <c r="P44" s="78"/>
      <c r="Q44" s="77"/>
      <c r="R44" s="78"/>
      <c r="S44" s="78"/>
      <c r="T44" s="78"/>
      <c r="U44" s="77"/>
      <c r="V44" s="78"/>
      <c r="W44" s="78"/>
      <c r="X44" s="93"/>
      <c r="Y44" s="93"/>
      <c r="Z44" s="77"/>
      <c r="AA44" s="78"/>
      <c r="AB44" s="123"/>
    </row>
    <row r="45" ht="15.75" customHeight="1">
      <c r="A45" s="75" t="str">
        <f t="shared" si="2"/>
        <v/>
      </c>
      <c r="B45" s="77"/>
      <c r="C45" s="77"/>
      <c r="D45" s="77"/>
      <c r="E45" s="96"/>
      <c r="F45" s="77"/>
      <c r="G45" s="77"/>
      <c r="H45" s="78"/>
      <c r="I45" s="77"/>
      <c r="J45" s="78"/>
      <c r="K45" s="78"/>
      <c r="L45" s="78"/>
      <c r="M45" s="78"/>
      <c r="N45" s="78"/>
      <c r="O45" s="78"/>
      <c r="P45" s="78"/>
      <c r="Q45" s="77"/>
      <c r="R45" s="78"/>
      <c r="S45" s="78"/>
      <c r="T45" s="78"/>
      <c r="U45" s="77"/>
      <c r="V45" s="78"/>
      <c r="W45" s="78"/>
      <c r="X45" s="93"/>
      <c r="Y45" s="93"/>
      <c r="Z45" s="77"/>
      <c r="AA45" s="78"/>
      <c r="AB45" s="123"/>
    </row>
    <row r="46" ht="15.75" customHeight="1">
      <c r="A46" s="75" t="str">
        <f t="shared" si="2"/>
        <v/>
      </c>
      <c r="B46" s="77"/>
      <c r="C46" s="77"/>
      <c r="D46" s="77"/>
      <c r="E46" s="96"/>
      <c r="F46" s="77"/>
      <c r="G46" s="77"/>
      <c r="H46" s="78"/>
      <c r="I46" s="77"/>
      <c r="J46" s="78"/>
      <c r="K46" s="78"/>
      <c r="L46" s="78"/>
      <c r="M46" s="78"/>
      <c r="N46" s="78"/>
      <c r="O46" s="78"/>
      <c r="P46" s="78"/>
      <c r="Q46" s="77"/>
      <c r="R46" s="78"/>
      <c r="S46" s="78"/>
      <c r="T46" s="78"/>
      <c r="U46" s="77"/>
      <c r="V46" s="78"/>
      <c r="W46" s="78"/>
      <c r="X46" s="93"/>
      <c r="Y46" s="93"/>
      <c r="Z46" s="77"/>
      <c r="AA46" s="78"/>
      <c r="AB46" s="123"/>
    </row>
    <row r="47" ht="15.75" customHeight="1">
      <c r="A47" s="75" t="str">
        <f t="shared" si="2"/>
        <v/>
      </c>
      <c r="B47" s="77"/>
      <c r="C47" s="77"/>
      <c r="D47" s="77"/>
      <c r="E47" s="96"/>
      <c r="F47" s="77"/>
      <c r="G47" s="77"/>
      <c r="H47" s="78"/>
      <c r="I47" s="77"/>
      <c r="J47" s="78"/>
      <c r="K47" s="78"/>
      <c r="L47" s="78"/>
      <c r="M47" s="78"/>
      <c r="N47" s="78"/>
      <c r="O47" s="78"/>
      <c r="P47" s="78"/>
      <c r="Q47" s="77"/>
      <c r="R47" s="78"/>
      <c r="S47" s="78"/>
      <c r="T47" s="78"/>
      <c r="U47" s="77"/>
      <c r="V47" s="78"/>
      <c r="W47" s="78"/>
      <c r="X47" s="93"/>
      <c r="Y47" s="93"/>
      <c r="Z47" s="77"/>
      <c r="AA47" s="78"/>
      <c r="AB47" s="123"/>
    </row>
    <row r="48" ht="15.75" customHeight="1">
      <c r="A48" s="75" t="str">
        <f t="shared" si="2"/>
        <v/>
      </c>
      <c r="B48" s="77"/>
      <c r="C48" s="77"/>
      <c r="D48" s="77"/>
      <c r="E48" s="96"/>
      <c r="F48" s="77"/>
      <c r="G48" s="77"/>
      <c r="H48" s="78"/>
      <c r="I48" s="77"/>
      <c r="J48" s="78"/>
      <c r="K48" s="78"/>
      <c r="L48" s="78"/>
      <c r="M48" s="78"/>
      <c r="N48" s="78"/>
      <c r="O48" s="78"/>
      <c r="P48" s="78"/>
      <c r="Q48" s="77"/>
      <c r="R48" s="78"/>
      <c r="S48" s="78"/>
      <c r="T48" s="78"/>
      <c r="U48" s="77"/>
      <c r="V48" s="78"/>
      <c r="W48" s="78"/>
      <c r="X48" s="93"/>
      <c r="Y48" s="93"/>
      <c r="Z48" s="77"/>
      <c r="AA48" s="78"/>
      <c r="AB48" s="123"/>
    </row>
    <row r="49" ht="15.75" customHeight="1">
      <c r="A49" s="75" t="str">
        <f t="shared" si="2"/>
        <v/>
      </c>
      <c r="B49" s="77"/>
      <c r="C49" s="77"/>
      <c r="D49" s="77"/>
      <c r="E49" s="96"/>
      <c r="F49" s="77"/>
      <c r="G49" s="77"/>
      <c r="H49" s="78"/>
      <c r="I49" s="77"/>
      <c r="J49" s="78"/>
      <c r="K49" s="78"/>
      <c r="L49" s="78"/>
      <c r="M49" s="78"/>
      <c r="N49" s="78"/>
      <c r="O49" s="78"/>
      <c r="P49" s="78"/>
      <c r="Q49" s="77"/>
      <c r="R49" s="78"/>
      <c r="S49" s="78"/>
      <c r="T49" s="78"/>
      <c r="U49" s="77"/>
      <c r="V49" s="78"/>
      <c r="W49" s="78"/>
      <c r="X49" s="93"/>
      <c r="Y49" s="93"/>
      <c r="Z49" s="77"/>
      <c r="AA49" s="78"/>
      <c r="AB49" s="123"/>
    </row>
    <row r="50" ht="15.75" customHeight="1">
      <c r="A50" s="75" t="str">
        <f t="shared" si="2"/>
        <v/>
      </c>
      <c r="B50" s="77"/>
      <c r="C50" s="77"/>
      <c r="D50" s="77"/>
      <c r="E50" s="96"/>
      <c r="F50" s="77"/>
      <c r="G50" s="77"/>
      <c r="H50" s="78"/>
      <c r="I50" s="77"/>
      <c r="J50" s="78"/>
      <c r="K50" s="78"/>
      <c r="L50" s="78"/>
      <c r="M50" s="78"/>
      <c r="N50" s="78"/>
      <c r="O50" s="78"/>
      <c r="P50" s="78"/>
      <c r="Q50" s="77"/>
      <c r="R50" s="78"/>
      <c r="S50" s="78"/>
      <c r="T50" s="78"/>
      <c r="U50" s="77"/>
      <c r="V50" s="78"/>
      <c r="W50" s="78"/>
      <c r="X50" s="93"/>
      <c r="Y50" s="93"/>
      <c r="Z50" s="77"/>
      <c r="AA50" s="78"/>
      <c r="AB50" s="123"/>
    </row>
    <row r="51" ht="15.75" customHeight="1">
      <c r="A51" s="75" t="str">
        <f t="shared" si="2"/>
        <v/>
      </c>
      <c r="B51" s="77"/>
      <c r="C51" s="77"/>
      <c r="D51" s="77"/>
      <c r="E51" s="96"/>
      <c r="F51" s="77"/>
      <c r="G51" s="77"/>
      <c r="H51" s="78"/>
      <c r="I51" s="77"/>
      <c r="J51" s="78"/>
      <c r="K51" s="78"/>
      <c r="L51" s="78"/>
      <c r="M51" s="78"/>
      <c r="N51" s="78"/>
      <c r="O51" s="78"/>
      <c r="P51" s="78"/>
      <c r="Q51" s="77"/>
      <c r="R51" s="78"/>
      <c r="S51" s="78"/>
      <c r="T51" s="78"/>
      <c r="U51" s="77"/>
      <c r="V51" s="78"/>
      <c r="W51" s="78"/>
      <c r="X51" s="93"/>
      <c r="Y51" s="93"/>
      <c r="Z51" s="77"/>
      <c r="AA51" s="78"/>
      <c r="AB51" s="123"/>
    </row>
    <row r="52" ht="15.75" customHeight="1">
      <c r="A52" s="75" t="str">
        <f t="shared" si="2"/>
        <v/>
      </c>
      <c r="B52" s="77"/>
      <c r="C52" s="77"/>
      <c r="D52" s="77"/>
      <c r="E52" s="96"/>
      <c r="F52" s="77"/>
      <c r="G52" s="77"/>
      <c r="H52" s="78"/>
      <c r="I52" s="77"/>
      <c r="J52" s="78"/>
      <c r="K52" s="78"/>
      <c r="L52" s="78"/>
      <c r="M52" s="78"/>
      <c r="N52" s="78"/>
      <c r="O52" s="78"/>
      <c r="P52" s="78"/>
      <c r="Q52" s="77"/>
      <c r="R52" s="78"/>
      <c r="S52" s="78"/>
      <c r="T52" s="78"/>
      <c r="U52" s="77"/>
      <c r="V52" s="78"/>
      <c r="W52" s="78"/>
      <c r="X52" s="93"/>
      <c r="Y52" s="93"/>
      <c r="Z52" s="77"/>
      <c r="AA52" s="78"/>
      <c r="AB52" s="123"/>
    </row>
    <row r="53" ht="15.75" customHeight="1">
      <c r="A53" s="75" t="str">
        <f t="shared" si="2"/>
        <v/>
      </c>
      <c r="B53" s="77"/>
      <c r="C53" s="77"/>
      <c r="D53" s="77"/>
      <c r="E53" s="96"/>
      <c r="F53" s="77"/>
      <c r="G53" s="77"/>
      <c r="H53" s="78"/>
      <c r="I53" s="77"/>
      <c r="J53" s="78"/>
      <c r="K53" s="78"/>
      <c r="L53" s="78"/>
      <c r="M53" s="78"/>
      <c r="N53" s="78"/>
      <c r="O53" s="78"/>
      <c r="P53" s="78"/>
      <c r="Q53" s="77"/>
      <c r="R53" s="78"/>
      <c r="S53" s="78"/>
      <c r="T53" s="78"/>
      <c r="U53" s="77"/>
      <c r="V53" s="78"/>
      <c r="W53" s="78"/>
      <c r="X53" s="93"/>
      <c r="Y53" s="93"/>
      <c r="Z53" s="77"/>
      <c r="AA53" s="78"/>
      <c r="AB53" s="123"/>
    </row>
    <row r="54" ht="15.75" customHeight="1">
      <c r="A54" s="75" t="str">
        <f t="shared" si="2"/>
        <v/>
      </c>
      <c r="B54" s="77"/>
      <c r="C54" s="77"/>
      <c r="D54" s="77"/>
      <c r="E54" s="96"/>
      <c r="F54" s="77"/>
      <c r="G54" s="77"/>
      <c r="H54" s="78"/>
      <c r="I54" s="77"/>
      <c r="J54" s="78"/>
      <c r="K54" s="78"/>
      <c r="L54" s="78"/>
      <c r="M54" s="78"/>
      <c r="N54" s="78"/>
      <c r="O54" s="78"/>
      <c r="P54" s="78"/>
      <c r="Q54" s="77"/>
      <c r="R54" s="78"/>
      <c r="S54" s="78"/>
      <c r="T54" s="78"/>
      <c r="U54" s="77"/>
      <c r="V54" s="78"/>
      <c r="W54" s="78"/>
      <c r="X54" s="93"/>
      <c r="Y54" s="93"/>
      <c r="Z54" s="77"/>
      <c r="AA54" s="78"/>
      <c r="AB54" s="123"/>
    </row>
    <row r="55" ht="15.75" customHeight="1">
      <c r="A55" s="75" t="str">
        <f t="shared" si="2"/>
        <v/>
      </c>
      <c r="B55" s="77"/>
      <c r="C55" s="77"/>
      <c r="D55" s="77"/>
      <c r="E55" s="96"/>
      <c r="F55" s="77"/>
      <c r="G55" s="77"/>
      <c r="H55" s="78"/>
      <c r="I55" s="77"/>
      <c r="J55" s="78"/>
      <c r="K55" s="78"/>
      <c r="L55" s="78"/>
      <c r="M55" s="78"/>
      <c r="N55" s="78"/>
      <c r="O55" s="78"/>
      <c r="P55" s="78"/>
      <c r="Q55" s="77"/>
      <c r="R55" s="78"/>
      <c r="S55" s="78"/>
      <c r="T55" s="78"/>
      <c r="U55" s="77"/>
      <c r="V55" s="78"/>
      <c r="W55" s="78"/>
      <c r="X55" s="93"/>
      <c r="Y55" s="93"/>
      <c r="Z55" s="77"/>
      <c r="AA55" s="78"/>
      <c r="AB55" s="123"/>
    </row>
    <row r="56" ht="15.75" customHeight="1">
      <c r="A56" s="90" t="str">
        <f t="shared" si="2"/>
        <v/>
      </c>
      <c r="B56" s="92"/>
      <c r="C56" s="92"/>
      <c r="D56" s="92"/>
      <c r="E56" s="110"/>
      <c r="F56" s="92"/>
      <c r="G56" s="92"/>
      <c r="H56" s="94"/>
      <c r="I56" s="92"/>
      <c r="J56" s="94"/>
      <c r="K56" s="94"/>
      <c r="L56" s="94"/>
      <c r="M56" s="94"/>
      <c r="N56" s="94"/>
      <c r="O56" s="94"/>
      <c r="P56" s="94"/>
      <c r="Q56" s="92"/>
      <c r="R56" s="94"/>
      <c r="S56" s="94"/>
      <c r="T56" s="94"/>
      <c r="U56" s="92"/>
      <c r="V56" s="94"/>
      <c r="W56" s="94"/>
      <c r="X56" s="108"/>
      <c r="Y56" s="108"/>
      <c r="Z56" s="92"/>
      <c r="AA56" s="94"/>
      <c r="AB56" s="134"/>
    </row>
    <row r="57" ht="15.75" customHeight="1">
      <c r="A57" s="1"/>
      <c r="B57" s="1"/>
      <c r="C57" s="1"/>
      <c r="D57" s="1"/>
      <c r="G57" s="113"/>
      <c r="H57" s="1"/>
      <c r="I57" s="1"/>
      <c r="J57" s="136"/>
      <c r="M57" s="1"/>
      <c r="P57" s="1"/>
      <c r="Q57" s="1"/>
      <c r="U57" s="1"/>
      <c r="AA57" s="1"/>
    </row>
    <row r="58" ht="15.75" customHeight="1">
      <c r="A58" s="1"/>
      <c r="B58" s="1"/>
      <c r="C58" s="1"/>
      <c r="D58" s="1"/>
      <c r="G58" s="113"/>
      <c r="H58" s="1"/>
      <c r="I58" s="1"/>
      <c r="J58" s="136"/>
      <c r="M58" s="1"/>
      <c r="P58" s="1"/>
      <c r="Q58" s="1"/>
      <c r="U58" s="1"/>
      <c r="AA58" s="1"/>
    </row>
    <row r="59" ht="15.75" customHeight="1">
      <c r="A59" s="1"/>
      <c r="B59" s="1"/>
      <c r="C59" s="1"/>
      <c r="D59" s="1"/>
      <c r="G59" s="113"/>
      <c r="H59" s="1"/>
      <c r="I59" s="1"/>
      <c r="J59" s="136"/>
      <c r="M59" s="1"/>
      <c r="P59" s="1"/>
      <c r="Q59" s="1"/>
      <c r="U59" s="1"/>
      <c r="AA59" s="1"/>
    </row>
    <row r="60" ht="15.75" customHeight="1">
      <c r="A60" s="1"/>
      <c r="B60" s="1"/>
      <c r="C60" s="1"/>
      <c r="D60" s="1"/>
      <c r="G60" s="113"/>
      <c r="H60" s="1"/>
      <c r="I60" s="1"/>
      <c r="J60" s="136"/>
      <c r="M60" s="1"/>
      <c r="P60" s="1"/>
      <c r="Q60" s="1"/>
      <c r="U60" s="1"/>
      <c r="AA60" s="1"/>
    </row>
    <row r="61" ht="15.75" customHeight="1">
      <c r="A61" s="1"/>
      <c r="B61" s="1"/>
      <c r="C61" s="1"/>
      <c r="D61" s="1"/>
      <c r="G61" s="113"/>
      <c r="H61" s="1"/>
      <c r="I61" s="1"/>
      <c r="J61" s="136"/>
      <c r="M61" s="1"/>
      <c r="P61" s="1"/>
      <c r="Q61" s="1"/>
      <c r="U61" s="1"/>
      <c r="AA61" s="1"/>
    </row>
    <row r="62" ht="15.75" customHeight="1">
      <c r="A62" s="1"/>
      <c r="B62" s="1"/>
      <c r="C62" s="1"/>
      <c r="D62" s="1"/>
      <c r="G62" s="113"/>
      <c r="H62" s="1"/>
      <c r="I62" s="1"/>
      <c r="J62" s="136"/>
      <c r="M62" s="1"/>
      <c r="P62" s="1"/>
      <c r="Q62" s="1"/>
      <c r="U62" s="1"/>
      <c r="AA62" s="1"/>
    </row>
    <row r="63" ht="15.75" customHeight="1">
      <c r="A63" s="1"/>
      <c r="B63" s="1"/>
      <c r="C63" s="1"/>
      <c r="D63" s="1"/>
      <c r="G63" s="113"/>
      <c r="H63" s="1"/>
      <c r="I63" s="1"/>
      <c r="J63" s="136"/>
      <c r="M63" s="1"/>
      <c r="P63" s="1"/>
      <c r="Q63" s="1"/>
      <c r="U63" s="1"/>
      <c r="AA63" s="1"/>
    </row>
    <row r="64" ht="15.75" customHeight="1">
      <c r="A64" s="1"/>
      <c r="B64" s="1"/>
      <c r="C64" s="1"/>
      <c r="D64" s="1"/>
      <c r="G64" s="113"/>
      <c r="H64" s="1"/>
      <c r="I64" s="1"/>
      <c r="J64" s="136"/>
      <c r="M64" s="1"/>
      <c r="P64" s="1"/>
      <c r="Q64" s="1"/>
      <c r="U64" s="1"/>
      <c r="AA64" s="1"/>
    </row>
    <row r="65" ht="15.75" customHeight="1">
      <c r="A65" s="1"/>
      <c r="B65" s="1"/>
      <c r="C65" s="1"/>
      <c r="D65" s="1"/>
      <c r="G65" s="113"/>
      <c r="H65" s="1"/>
      <c r="I65" s="1"/>
      <c r="J65" s="136"/>
      <c r="M65" s="1"/>
      <c r="P65" s="1"/>
      <c r="Q65" s="1"/>
      <c r="U65" s="1"/>
      <c r="AA65" s="1"/>
    </row>
    <row r="66" ht="15.75" customHeight="1">
      <c r="A66" s="1"/>
      <c r="B66" s="1"/>
      <c r="C66" s="1"/>
      <c r="D66" s="1"/>
      <c r="G66" s="113"/>
      <c r="H66" s="1"/>
      <c r="I66" s="1"/>
      <c r="J66" s="136"/>
      <c r="M66" s="1"/>
      <c r="P66" s="1"/>
      <c r="Q66" s="1"/>
      <c r="U66" s="1"/>
      <c r="AA66" s="1"/>
    </row>
    <row r="67" ht="15.75" customHeight="1">
      <c r="A67" s="1"/>
      <c r="B67" s="1"/>
      <c r="C67" s="1"/>
      <c r="D67" s="1"/>
      <c r="G67" s="113"/>
      <c r="H67" s="1"/>
      <c r="I67" s="1"/>
      <c r="J67" s="136"/>
      <c r="M67" s="1"/>
      <c r="P67" s="1"/>
      <c r="Q67" s="1"/>
      <c r="U67" s="1"/>
      <c r="AA67" s="1"/>
    </row>
    <row r="68" ht="15.75" customHeight="1">
      <c r="A68" s="1"/>
      <c r="B68" s="1"/>
      <c r="C68" s="1"/>
      <c r="D68" s="1"/>
      <c r="G68" s="113"/>
      <c r="H68" s="1"/>
      <c r="I68" s="1"/>
      <c r="J68" s="136"/>
      <c r="M68" s="1"/>
      <c r="P68" s="1"/>
      <c r="Q68" s="1"/>
      <c r="U68" s="1"/>
      <c r="AA68" s="1"/>
    </row>
    <row r="69" ht="15.75" customHeight="1">
      <c r="A69" s="1"/>
      <c r="B69" s="1"/>
      <c r="C69" s="1"/>
      <c r="D69" s="1"/>
      <c r="G69" s="113"/>
      <c r="H69" s="1"/>
      <c r="I69" s="1"/>
      <c r="J69" s="136"/>
      <c r="M69" s="1"/>
      <c r="P69" s="1"/>
      <c r="Q69" s="1"/>
      <c r="U69" s="1"/>
      <c r="AA69" s="1"/>
    </row>
    <row r="70" ht="15.75" customHeight="1">
      <c r="A70" s="1"/>
      <c r="B70" s="1"/>
      <c r="C70" s="1"/>
      <c r="D70" s="1"/>
      <c r="G70" s="113"/>
      <c r="H70" s="1"/>
      <c r="I70" s="1"/>
      <c r="J70" s="136"/>
      <c r="M70" s="1"/>
      <c r="P70" s="1"/>
      <c r="Q70" s="1"/>
      <c r="U70" s="1"/>
      <c r="AA70" s="1"/>
    </row>
    <row r="71" ht="15.75" customHeight="1">
      <c r="A71" s="1"/>
      <c r="B71" s="1"/>
      <c r="C71" s="1"/>
      <c r="D71" s="1"/>
      <c r="G71" s="113"/>
      <c r="H71" s="1"/>
      <c r="I71" s="1"/>
      <c r="J71" s="136"/>
      <c r="M71" s="1"/>
      <c r="P71" s="1"/>
      <c r="Q71" s="1"/>
      <c r="U71" s="1"/>
      <c r="AA71" s="1"/>
    </row>
    <row r="72" ht="15.75" customHeight="1">
      <c r="A72" s="1"/>
      <c r="B72" s="1"/>
      <c r="C72" s="1"/>
      <c r="D72" s="1"/>
      <c r="G72" s="113"/>
      <c r="H72" s="1"/>
      <c r="I72" s="1"/>
      <c r="J72" s="136"/>
      <c r="M72" s="1"/>
      <c r="P72" s="1"/>
      <c r="Q72" s="1"/>
      <c r="U72" s="1"/>
      <c r="AA72" s="1"/>
    </row>
    <row r="73" ht="15.75" customHeight="1">
      <c r="A73" s="1"/>
      <c r="B73" s="1"/>
      <c r="C73" s="1"/>
      <c r="D73" s="1"/>
      <c r="G73" s="113"/>
      <c r="H73" s="1"/>
      <c r="I73" s="1"/>
      <c r="J73" s="136"/>
      <c r="M73" s="1"/>
      <c r="P73" s="1"/>
      <c r="Q73" s="1"/>
      <c r="U73" s="1"/>
      <c r="AA73" s="1"/>
    </row>
    <row r="74" ht="15.75" customHeight="1">
      <c r="A74" s="1"/>
      <c r="B74" s="1"/>
      <c r="C74" s="1"/>
      <c r="D74" s="1"/>
      <c r="G74" s="113"/>
      <c r="H74" s="1"/>
      <c r="I74" s="1"/>
      <c r="J74" s="136"/>
      <c r="M74" s="1"/>
      <c r="P74" s="1"/>
      <c r="Q74" s="1"/>
      <c r="U74" s="1"/>
      <c r="AA74" s="1"/>
    </row>
    <row r="75" ht="15.75" customHeight="1">
      <c r="A75" s="1"/>
      <c r="B75" s="1"/>
      <c r="C75" s="1"/>
      <c r="D75" s="1"/>
      <c r="G75" s="113"/>
      <c r="H75" s="1"/>
      <c r="I75" s="1"/>
      <c r="J75" s="136"/>
      <c r="M75" s="1"/>
      <c r="P75" s="1"/>
      <c r="Q75" s="1"/>
      <c r="U75" s="1"/>
      <c r="AA75" s="1"/>
    </row>
    <row r="76" ht="15.75" customHeight="1">
      <c r="A76" s="1"/>
      <c r="B76" s="1"/>
      <c r="C76" s="1"/>
      <c r="D76" s="1"/>
      <c r="G76" s="113"/>
      <c r="H76" s="1"/>
      <c r="I76" s="1"/>
      <c r="J76" s="136"/>
      <c r="M76" s="1"/>
      <c r="P76" s="1"/>
      <c r="Q76" s="1"/>
      <c r="U76" s="1"/>
      <c r="AA76" s="1"/>
    </row>
    <row r="77" ht="15.75" customHeight="1">
      <c r="A77" s="1"/>
      <c r="B77" s="1"/>
      <c r="C77" s="1"/>
      <c r="D77" s="1"/>
      <c r="G77" s="113"/>
      <c r="H77" s="1"/>
      <c r="I77" s="1"/>
      <c r="J77" s="136"/>
      <c r="M77" s="1"/>
      <c r="P77" s="1"/>
      <c r="Q77" s="1"/>
      <c r="U77" s="1"/>
      <c r="AA77" s="1"/>
    </row>
    <row r="78" ht="15.75" customHeight="1">
      <c r="A78" s="1"/>
      <c r="B78" s="1"/>
      <c r="C78" s="1"/>
      <c r="D78" s="1"/>
      <c r="G78" s="113"/>
      <c r="H78" s="1"/>
      <c r="I78" s="1"/>
      <c r="J78" s="136"/>
      <c r="M78" s="1"/>
      <c r="P78" s="1"/>
      <c r="Q78" s="1"/>
      <c r="U78" s="1"/>
      <c r="AA78" s="1"/>
    </row>
    <row r="79" ht="15.75" customHeight="1">
      <c r="A79" s="1"/>
      <c r="B79" s="1"/>
      <c r="C79" s="1"/>
      <c r="D79" s="1"/>
      <c r="G79" s="113"/>
      <c r="H79" s="1"/>
      <c r="I79" s="1"/>
      <c r="J79" s="136"/>
      <c r="M79" s="1"/>
      <c r="P79" s="1"/>
      <c r="Q79" s="1"/>
      <c r="U79" s="1"/>
      <c r="AA79" s="1"/>
    </row>
    <row r="80" ht="15.75" customHeight="1">
      <c r="A80" s="1"/>
      <c r="B80" s="1"/>
      <c r="C80" s="1"/>
      <c r="D80" s="1"/>
      <c r="G80" s="113"/>
      <c r="H80" s="1"/>
      <c r="I80" s="1"/>
      <c r="J80" s="136"/>
      <c r="M80" s="1"/>
      <c r="P80" s="1"/>
      <c r="Q80" s="1"/>
      <c r="U80" s="1"/>
      <c r="AA80" s="1"/>
    </row>
    <row r="81" ht="15.75" customHeight="1">
      <c r="A81" s="1"/>
      <c r="B81" s="1"/>
      <c r="C81" s="1"/>
      <c r="D81" s="1"/>
      <c r="G81" s="113"/>
      <c r="H81" s="1"/>
      <c r="I81" s="1"/>
      <c r="J81" s="136"/>
      <c r="M81" s="1"/>
      <c r="P81" s="1"/>
      <c r="Q81" s="1"/>
      <c r="U81" s="1"/>
      <c r="AA81" s="1"/>
    </row>
    <row r="82" ht="15.75" customHeight="1">
      <c r="A82" s="1"/>
      <c r="B82" s="1"/>
      <c r="C82" s="1"/>
      <c r="D82" s="1"/>
      <c r="G82" s="113"/>
      <c r="H82" s="1"/>
      <c r="I82" s="1"/>
      <c r="J82" s="136"/>
      <c r="M82" s="1"/>
      <c r="P82" s="1"/>
      <c r="Q82" s="1"/>
      <c r="U82" s="1"/>
      <c r="AA82" s="1"/>
    </row>
    <row r="83" ht="15.75" customHeight="1">
      <c r="A83" s="1"/>
      <c r="B83" s="1"/>
      <c r="C83" s="1"/>
      <c r="D83" s="1"/>
      <c r="G83" s="113"/>
      <c r="H83" s="1"/>
      <c r="I83" s="1"/>
      <c r="J83" s="136"/>
      <c r="M83" s="1"/>
      <c r="P83" s="1"/>
      <c r="Q83" s="1"/>
      <c r="U83" s="1"/>
      <c r="AA83" s="1"/>
    </row>
    <row r="84" ht="15.75" customHeight="1">
      <c r="A84" s="1"/>
      <c r="B84" s="1"/>
      <c r="C84" s="1"/>
      <c r="D84" s="1"/>
      <c r="G84" s="113"/>
      <c r="H84" s="1"/>
      <c r="I84" s="1"/>
      <c r="J84" s="136"/>
      <c r="M84" s="1"/>
      <c r="P84" s="1"/>
      <c r="Q84" s="1"/>
      <c r="U84" s="1"/>
      <c r="AA84" s="1"/>
    </row>
    <row r="85" ht="15.75" customHeight="1">
      <c r="A85" s="1"/>
      <c r="B85" s="1"/>
      <c r="C85" s="1"/>
      <c r="D85" s="1"/>
      <c r="G85" s="113"/>
      <c r="H85" s="1"/>
      <c r="I85" s="1"/>
      <c r="J85" s="136"/>
      <c r="M85" s="1"/>
      <c r="P85" s="1"/>
      <c r="Q85" s="1"/>
      <c r="U85" s="1"/>
      <c r="AA85" s="1"/>
    </row>
    <row r="86" ht="15.75" customHeight="1">
      <c r="A86" s="1"/>
      <c r="B86" s="1"/>
      <c r="C86" s="1"/>
      <c r="D86" s="1"/>
      <c r="G86" s="113"/>
      <c r="H86" s="1"/>
      <c r="I86" s="1"/>
      <c r="J86" s="136"/>
      <c r="M86" s="1"/>
      <c r="P86" s="1"/>
      <c r="Q86" s="1"/>
      <c r="U86" s="1"/>
      <c r="AA86" s="1"/>
    </row>
    <row r="87" ht="15.75" customHeight="1">
      <c r="A87" s="1"/>
      <c r="B87" s="1"/>
      <c r="C87" s="1"/>
      <c r="D87" s="1"/>
      <c r="G87" s="113"/>
      <c r="H87" s="1"/>
      <c r="I87" s="1"/>
      <c r="J87" s="136"/>
      <c r="M87" s="1"/>
      <c r="P87" s="1"/>
      <c r="Q87" s="1"/>
      <c r="U87" s="1"/>
      <c r="AA87" s="1"/>
    </row>
    <row r="88" ht="15.75" customHeight="1">
      <c r="A88" s="1"/>
      <c r="B88" s="1"/>
      <c r="C88" s="1"/>
      <c r="D88" s="1"/>
      <c r="G88" s="113"/>
      <c r="H88" s="1"/>
      <c r="I88" s="1"/>
      <c r="J88" s="136"/>
      <c r="M88" s="1"/>
      <c r="P88" s="1"/>
      <c r="Q88" s="1"/>
      <c r="U88" s="1"/>
      <c r="AA88" s="1"/>
    </row>
    <row r="89" ht="15.75" customHeight="1">
      <c r="A89" s="1"/>
      <c r="B89" s="1"/>
      <c r="C89" s="1"/>
      <c r="D89" s="1"/>
      <c r="G89" s="113"/>
      <c r="H89" s="1"/>
      <c r="I89" s="1"/>
      <c r="J89" s="136"/>
      <c r="M89" s="1"/>
      <c r="P89" s="1"/>
      <c r="Q89" s="1"/>
      <c r="U89" s="1"/>
      <c r="AA89" s="1"/>
    </row>
    <row r="90" ht="15.75" customHeight="1">
      <c r="A90" s="1"/>
      <c r="B90" s="1"/>
      <c r="C90" s="1"/>
      <c r="D90" s="1"/>
      <c r="G90" s="113"/>
      <c r="H90" s="1"/>
      <c r="I90" s="1"/>
      <c r="J90" s="136"/>
      <c r="M90" s="1"/>
      <c r="P90" s="1"/>
      <c r="Q90" s="1"/>
      <c r="U90" s="1"/>
      <c r="AA90" s="1"/>
    </row>
    <row r="91" ht="15.75" customHeight="1">
      <c r="A91" s="1"/>
      <c r="B91" s="1"/>
      <c r="C91" s="1"/>
      <c r="D91" s="1"/>
      <c r="G91" s="113"/>
      <c r="H91" s="1"/>
      <c r="I91" s="1"/>
      <c r="J91" s="136"/>
      <c r="M91" s="1"/>
      <c r="P91" s="1"/>
      <c r="Q91" s="1"/>
      <c r="U91" s="1"/>
      <c r="AA91" s="1"/>
    </row>
    <row r="92" ht="15.75" customHeight="1">
      <c r="A92" s="1"/>
      <c r="B92" s="1"/>
      <c r="C92" s="1"/>
      <c r="D92" s="1"/>
      <c r="G92" s="113"/>
      <c r="H92" s="1"/>
      <c r="I92" s="1"/>
      <c r="J92" s="136"/>
      <c r="M92" s="1"/>
      <c r="P92" s="1"/>
      <c r="Q92" s="1"/>
      <c r="U92" s="1"/>
      <c r="AA92" s="1"/>
    </row>
    <row r="93" ht="15.75" customHeight="1">
      <c r="A93" s="1"/>
      <c r="B93" s="1"/>
      <c r="C93" s="1"/>
      <c r="D93" s="1"/>
      <c r="G93" s="113"/>
      <c r="H93" s="1"/>
      <c r="I93" s="1"/>
      <c r="J93" s="136"/>
      <c r="M93" s="1"/>
      <c r="P93" s="1"/>
      <c r="Q93" s="1"/>
      <c r="U93" s="1"/>
      <c r="AA93" s="1"/>
    </row>
    <row r="94" ht="15.75" customHeight="1">
      <c r="A94" s="1"/>
      <c r="B94" s="1"/>
      <c r="C94" s="1"/>
      <c r="D94" s="1"/>
      <c r="G94" s="113"/>
      <c r="H94" s="1"/>
      <c r="I94" s="1"/>
      <c r="J94" s="136"/>
      <c r="M94" s="1"/>
      <c r="P94" s="1"/>
      <c r="Q94" s="1"/>
      <c r="U94" s="1"/>
      <c r="AA94" s="1"/>
    </row>
    <row r="95" ht="15.75" customHeight="1">
      <c r="A95" s="1"/>
      <c r="B95" s="1"/>
      <c r="C95" s="1"/>
      <c r="D95" s="1"/>
      <c r="G95" s="113"/>
      <c r="H95" s="1"/>
      <c r="I95" s="1"/>
      <c r="J95" s="136"/>
      <c r="M95" s="1"/>
      <c r="P95" s="1"/>
      <c r="Q95" s="1"/>
      <c r="U95" s="1"/>
      <c r="AA95" s="1"/>
    </row>
    <row r="96" ht="15.75" customHeight="1">
      <c r="A96" s="1"/>
      <c r="B96" s="1"/>
      <c r="C96" s="1"/>
      <c r="D96" s="1"/>
      <c r="G96" s="113"/>
      <c r="H96" s="1"/>
      <c r="I96" s="1"/>
      <c r="J96" s="136"/>
      <c r="M96" s="1"/>
      <c r="P96" s="1"/>
      <c r="Q96" s="1"/>
      <c r="U96" s="1"/>
      <c r="AA96" s="1"/>
    </row>
    <row r="97" ht="15.75" customHeight="1">
      <c r="A97" s="1"/>
      <c r="B97" s="1"/>
      <c r="C97" s="1"/>
      <c r="D97" s="1"/>
      <c r="G97" s="113"/>
      <c r="H97" s="1"/>
      <c r="I97" s="1"/>
      <c r="J97" s="136"/>
      <c r="M97" s="1"/>
      <c r="P97" s="1"/>
      <c r="Q97" s="1"/>
      <c r="U97" s="1"/>
      <c r="AA97" s="1"/>
    </row>
    <row r="98" ht="15.75" customHeight="1">
      <c r="A98" s="1"/>
      <c r="B98" s="1"/>
      <c r="C98" s="1"/>
      <c r="D98" s="1"/>
      <c r="G98" s="113"/>
      <c r="H98" s="1"/>
      <c r="I98" s="1"/>
      <c r="J98" s="136"/>
      <c r="M98" s="1"/>
      <c r="P98" s="1"/>
      <c r="Q98" s="1"/>
      <c r="U98" s="1"/>
      <c r="AA98" s="1"/>
    </row>
    <row r="99" ht="15.75" customHeight="1">
      <c r="A99" s="1"/>
      <c r="B99" s="1"/>
      <c r="C99" s="1"/>
      <c r="D99" s="1"/>
      <c r="G99" s="113"/>
      <c r="H99" s="1"/>
      <c r="I99" s="1"/>
      <c r="J99" s="136"/>
      <c r="M99" s="1"/>
      <c r="P99" s="1"/>
      <c r="Q99" s="1"/>
      <c r="U99" s="1"/>
      <c r="AA99" s="1"/>
    </row>
    <row r="100" ht="15.75" customHeight="1">
      <c r="A100" s="1"/>
      <c r="B100" s="1"/>
      <c r="C100" s="1"/>
      <c r="D100" s="1"/>
      <c r="G100" s="113"/>
      <c r="H100" s="1"/>
      <c r="I100" s="1"/>
      <c r="J100" s="136"/>
      <c r="M100" s="1"/>
      <c r="P100" s="1"/>
      <c r="Q100" s="1"/>
      <c r="U100" s="1"/>
      <c r="AA100" s="1"/>
    </row>
    <row r="101" ht="15.75" customHeight="1">
      <c r="A101" s="1"/>
      <c r="B101" s="1"/>
      <c r="C101" s="1"/>
      <c r="D101" s="1"/>
      <c r="G101" s="113"/>
      <c r="H101" s="1"/>
      <c r="I101" s="1"/>
      <c r="J101" s="136"/>
      <c r="M101" s="1"/>
      <c r="P101" s="1"/>
      <c r="Q101" s="1"/>
      <c r="U101" s="1"/>
      <c r="AA101" s="1"/>
    </row>
    <row r="102" ht="15.75" customHeight="1">
      <c r="A102" s="1"/>
      <c r="B102" s="1"/>
      <c r="C102" s="1"/>
      <c r="D102" s="1"/>
      <c r="G102" s="113"/>
      <c r="H102" s="1"/>
      <c r="I102" s="1"/>
      <c r="J102" s="136"/>
      <c r="M102" s="1"/>
      <c r="P102" s="1"/>
      <c r="Q102" s="1"/>
      <c r="U102" s="1"/>
      <c r="AA102" s="1"/>
    </row>
    <row r="103" ht="15.75" customHeight="1">
      <c r="A103" s="1"/>
      <c r="B103" s="1"/>
      <c r="C103" s="1"/>
      <c r="D103" s="1"/>
      <c r="G103" s="113"/>
      <c r="H103" s="1"/>
      <c r="I103" s="1"/>
      <c r="J103" s="136"/>
      <c r="M103" s="1"/>
      <c r="P103" s="1"/>
      <c r="Q103" s="1"/>
      <c r="U103" s="1"/>
      <c r="AA103" s="1"/>
    </row>
    <row r="104" ht="15.75" customHeight="1">
      <c r="A104" s="1"/>
      <c r="B104" s="1"/>
      <c r="C104" s="1"/>
      <c r="D104" s="1"/>
      <c r="G104" s="113"/>
      <c r="H104" s="1"/>
      <c r="I104" s="1"/>
      <c r="J104" s="136"/>
      <c r="M104" s="1"/>
      <c r="P104" s="1"/>
      <c r="Q104" s="1"/>
      <c r="U104" s="1"/>
      <c r="AA104" s="1"/>
    </row>
    <row r="105" ht="15.75" customHeight="1">
      <c r="A105" s="1"/>
      <c r="B105" s="1"/>
      <c r="C105" s="1"/>
      <c r="D105" s="1"/>
      <c r="G105" s="113"/>
      <c r="H105" s="1"/>
      <c r="I105" s="1"/>
      <c r="J105" s="136"/>
      <c r="M105" s="1"/>
      <c r="P105" s="1"/>
      <c r="Q105" s="1"/>
      <c r="U105" s="1"/>
      <c r="AA105" s="1"/>
    </row>
    <row r="106" ht="15.75" customHeight="1">
      <c r="A106" s="1"/>
      <c r="B106" s="1"/>
      <c r="C106" s="1"/>
      <c r="D106" s="1"/>
      <c r="G106" s="113"/>
      <c r="H106" s="1"/>
      <c r="I106" s="1"/>
      <c r="J106" s="136"/>
      <c r="M106" s="1"/>
      <c r="P106" s="1"/>
      <c r="Q106" s="1"/>
      <c r="U106" s="1"/>
      <c r="AA106" s="1"/>
    </row>
    <row r="107" ht="15.75" customHeight="1">
      <c r="A107" s="1"/>
      <c r="B107" s="1"/>
      <c r="C107" s="1"/>
      <c r="D107" s="1"/>
      <c r="G107" s="113"/>
      <c r="H107" s="1"/>
      <c r="I107" s="1"/>
      <c r="J107" s="136"/>
      <c r="M107" s="1"/>
      <c r="P107" s="1"/>
      <c r="Q107" s="1"/>
      <c r="U107" s="1"/>
      <c r="AA107" s="1"/>
    </row>
    <row r="108" ht="15.75" customHeight="1">
      <c r="A108" s="1"/>
      <c r="B108" s="1"/>
      <c r="C108" s="1"/>
      <c r="D108" s="1"/>
      <c r="G108" s="113"/>
      <c r="H108" s="1"/>
      <c r="I108" s="1"/>
      <c r="J108" s="136"/>
      <c r="M108" s="1"/>
      <c r="P108" s="1"/>
      <c r="Q108" s="1"/>
      <c r="U108" s="1"/>
      <c r="AA108" s="1"/>
    </row>
    <row r="109" ht="15.75" customHeight="1">
      <c r="A109" s="1"/>
      <c r="B109" s="1"/>
      <c r="C109" s="1"/>
      <c r="D109" s="1"/>
      <c r="G109" s="113"/>
      <c r="H109" s="1"/>
      <c r="I109" s="1"/>
      <c r="J109" s="136"/>
      <c r="M109" s="1"/>
      <c r="P109" s="1"/>
      <c r="Q109" s="1"/>
      <c r="U109" s="1"/>
      <c r="AA109" s="1"/>
    </row>
    <row r="110" ht="15.75" customHeight="1">
      <c r="A110" s="1"/>
      <c r="B110" s="1"/>
      <c r="C110" s="1"/>
      <c r="D110" s="1"/>
      <c r="G110" s="113"/>
      <c r="H110" s="1"/>
      <c r="I110" s="1"/>
      <c r="J110" s="136"/>
      <c r="M110" s="1"/>
      <c r="P110" s="1"/>
      <c r="Q110" s="1"/>
      <c r="U110" s="1"/>
      <c r="AA110" s="1"/>
    </row>
    <row r="111" ht="15.75" customHeight="1">
      <c r="A111" s="1"/>
      <c r="B111" s="1"/>
      <c r="C111" s="1"/>
      <c r="D111" s="1"/>
      <c r="G111" s="113"/>
      <c r="H111" s="1"/>
      <c r="I111" s="1"/>
      <c r="J111" s="136"/>
      <c r="M111" s="1"/>
      <c r="P111" s="1"/>
      <c r="Q111" s="1"/>
      <c r="U111" s="1"/>
      <c r="AA111" s="1"/>
    </row>
    <row r="112" ht="15.75" customHeight="1">
      <c r="A112" s="1"/>
      <c r="B112" s="1"/>
      <c r="C112" s="1"/>
      <c r="D112" s="1"/>
      <c r="G112" s="113"/>
      <c r="H112" s="1"/>
      <c r="I112" s="1"/>
      <c r="J112" s="136"/>
      <c r="M112" s="1"/>
      <c r="P112" s="1"/>
      <c r="Q112" s="1"/>
      <c r="U112" s="1"/>
      <c r="AA112" s="1"/>
    </row>
    <row r="113" ht="15.75" customHeight="1">
      <c r="A113" s="1"/>
      <c r="B113" s="1"/>
      <c r="C113" s="1"/>
      <c r="D113" s="1"/>
      <c r="G113" s="113"/>
      <c r="H113" s="1"/>
      <c r="I113" s="1"/>
      <c r="J113" s="136"/>
      <c r="M113" s="1"/>
      <c r="P113" s="1"/>
      <c r="Q113" s="1"/>
      <c r="U113" s="1"/>
      <c r="AA113" s="1"/>
    </row>
    <row r="114" ht="15.75" customHeight="1">
      <c r="A114" s="1"/>
      <c r="B114" s="1"/>
      <c r="C114" s="1"/>
      <c r="D114" s="1"/>
      <c r="G114" s="113"/>
      <c r="H114" s="1"/>
      <c r="I114" s="1"/>
      <c r="J114" s="136"/>
      <c r="M114" s="1"/>
      <c r="P114" s="1"/>
      <c r="Q114" s="1"/>
      <c r="U114" s="1"/>
      <c r="AA114" s="1"/>
    </row>
    <row r="115" ht="15.75" customHeight="1">
      <c r="A115" s="1"/>
      <c r="B115" s="1"/>
      <c r="C115" s="1"/>
      <c r="D115" s="1"/>
      <c r="G115" s="113"/>
      <c r="H115" s="1"/>
      <c r="I115" s="1"/>
      <c r="J115" s="136"/>
      <c r="M115" s="1"/>
      <c r="P115" s="1"/>
      <c r="Q115" s="1"/>
      <c r="U115" s="1"/>
      <c r="AA115" s="1"/>
    </row>
    <row r="116" ht="15.75" customHeight="1">
      <c r="A116" s="1"/>
      <c r="B116" s="1"/>
      <c r="C116" s="1"/>
      <c r="D116" s="1"/>
      <c r="G116" s="113"/>
      <c r="H116" s="1"/>
      <c r="I116" s="1"/>
      <c r="J116" s="136"/>
      <c r="M116" s="1"/>
      <c r="P116" s="1"/>
      <c r="Q116" s="1"/>
      <c r="U116" s="1"/>
      <c r="AA116" s="1"/>
    </row>
    <row r="117" ht="15.75" customHeight="1">
      <c r="A117" s="1"/>
      <c r="B117" s="1"/>
      <c r="C117" s="1"/>
      <c r="D117" s="1"/>
      <c r="G117" s="113"/>
      <c r="H117" s="1"/>
      <c r="I117" s="1"/>
      <c r="J117" s="136"/>
      <c r="M117" s="1"/>
      <c r="P117" s="1"/>
      <c r="Q117" s="1"/>
      <c r="U117" s="1"/>
      <c r="AA117" s="1"/>
    </row>
    <row r="118" ht="15.75" customHeight="1">
      <c r="A118" s="1"/>
      <c r="B118" s="1"/>
      <c r="C118" s="1"/>
      <c r="D118" s="1"/>
      <c r="G118" s="113"/>
      <c r="H118" s="1"/>
      <c r="I118" s="1"/>
      <c r="J118" s="136"/>
      <c r="M118" s="1"/>
      <c r="P118" s="1"/>
      <c r="Q118" s="1"/>
      <c r="U118" s="1"/>
      <c r="AA118" s="1"/>
    </row>
    <row r="119" ht="15.75" customHeight="1">
      <c r="A119" s="1"/>
      <c r="B119" s="1"/>
      <c r="C119" s="1"/>
      <c r="D119" s="1"/>
      <c r="G119" s="113"/>
      <c r="H119" s="1"/>
      <c r="I119" s="1"/>
      <c r="J119" s="136"/>
      <c r="M119" s="1"/>
      <c r="P119" s="1"/>
      <c r="Q119" s="1"/>
      <c r="U119" s="1"/>
      <c r="AA119" s="1"/>
    </row>
    <row r="120" ht="15.75" customHeight="1">
      <c r="A120" s="1"/>
      <c r="B120" s="1"/>
      <c r="C120" s="1"/>
      <c r="D120" s="1"/>
      <c r="G120" s="113"/>
      <c r="H120" s="1"/>
      <c r="I120" s="1"/>
      <c r="J120" s="136"/>
      <c r="M120" s="1"/>
      <c r="P120" s="1"/>
      <c r="Q120" s="1"/>
      <c r="U120" s="1"/>
      <c r="AA120" s="1"/>
    </row>
    <row r="121" ht="15.75" customHeight="1">
      <c r="A121" s="1"/>
      <c r="B121" s="1"/>
      <c r="C121" s="1"/>
      <c r="D121" s="1"/>
      <c r="G121" s="113"/>
      <c r="H121" s="1"/>
      <c r="I121" s="1"/>
      <c r="J121" s="136"/>
      <c r="M121" s="1"/>
      <c r="P121" s="1"/>
      <c r="Q121" s="1"/>
      <c r="U121" s="1"/>
      <c r="AA121" s="1"/>
    </row>
    <row r="122" ht="15.75" customHeight="1">
      <c r="A122" s="1"/>
      <c r="B122" s="1"/>
      <c r="C122" s="1"/>
      <c r="D122" s="1"/>
      <c r="G122" s="113"/>
      <c r="H122" s="1"/>
      <c r="I122" s="1"/>
      <c r="J122" s="136"/>
      <c r="M122" s="1"/>
      <c r="P122" s="1"/>
      <c r="Q122" s="1"/>
      <c r="U122" s="1"/>
      <c r="AA122" s="1"/>
    </row>
    <row r="123" ht="15.75" customHeight="1">
      <c r="A123" s="1"/>
      <c r="B123" s="1"/>
      <c r="C123" s="1"/>
      <c r="D123" s="1"/>
      <c r="G123" s="113"/>
      <c r="H123" s="1"/>
      <c r="I123" s="1"/>
      <c r="J123" s="136"/>
      <c r="M123" s="1"/>
      <c r="P123" s="1"/>
      <c r="Q123" s="1"/>
      <c r="U123" s="1"/>
      <c r="AA123" s="1"/>
    </row>
    <row r="124" ht="15.75" customHeight="1">
      <c r="A124" s="1"/>
      <c r="B124" s="1"/>
      <c r="C124" s="1"/>
      <c r="D124" s="1"/>
      <c r="G124" s="113"/>
      <c r="H124" s="1"/>
      <c r="I124" s="1"/>
      <c r="J124" s="136"/>
      <c r="M124" s="1"/>
      <c r="P124" s="1"/>
      <c r="Q124" s="1"/>
      <c r="U124" s="1"/>
      <c r="AA124" s="1"/>
    </row>
    <row r="125" ht="15.75" customHeight="1">
      <c r="A125" s="1"/>
      <c r="B125" s="1"/>
      <c r="C125" s="1"/>
      <c r="D125" s="1"/>
      <c r="G125" s="113"/>
      <c r="H125" s="1"/>
      <c r="I125" s="1"/>
      <c r="J125" s="136"/>
      <c r="M125" s="1"/>
      <c r="P125" s="1"/>
      <c r="Q125" s="1"/>
      <c r="U125" s="1"/>
      <c r="AA125" s="1"/>
    </row>
    <row r="126" ht="15.75" customHeight="1">
      <c r="A126" s="1"/>
      <c r="B126" s="1"/>
      <c r="C126" s="1"/>
      <c r="D126" s="1"/>
      <c r="G126" s="113"/>
      <c r="H126" s="1"/>
      <c r="I126" s="1"/>
      <c r="J126" s="136"/>
      <c r="M126" s="1"/>
      <c r="P126" s="1"/>
      <c r="Q126" s="1"/>
      <c r="U126" s="1"/>
      <c r="AA126" s="1"/>
    </row>
    <row r="127" ht="15.75" customHeight="1">
      <c r="A127" s="1"/>
      <c r="B127" s="1"/>
      <c r="C127" s="1"/>
      <c r="D127" s="1"/>
      <c r="G127" s="113"/>
      <c r="H127" s="1"/>
      <c r="I127" s="1"/>
      <c r="J127" s="136"/>
      <c r="M127" s="1"/>
      <c r="P127" s="1"/>
      <c r="Q127" s="1"/>
      <c r="U127" s="1"/>
      <c r="AA127" s="1"/>
    </row>
    <row r="128" ht="15.75" customHeight="1">
      <c r="A128" s="1"/>
      <c r="B128" s="1"/>
      <c r="C128" s="1"/>
      <c r="D128" s="1"/>
      <c r="G128" s="113"/>
      <c r="H128" s="1"/>
      <c r="I128" s="1"/>
      <c r="J128" s="136"/>
      <c r="M128" s="1"/>
      <c r="P128" s="1"/>
      <c r="Q128" s="1"/>
      <c r="U128" s="1"/>
      <c r="AA128" s="1"/>
    </row>
    <row r="129" ht="15.75" customHeight="1">
      <c r="A129" s="1"/>
      <c r="B129" s="1"/>
      <c r="C129" s="1"/>
      <c r="D129" s="1"/>
      <c r="G129" s="113"/>
      <c r="H129" s="1"/>
      <c r="I129" s="1"/>
      <c r="J129" s="136"/>
      <c r="M129" s="1"/>
      <c r="P129" s="1"/>
      <c r="Q129" s="1"/>
      <c r="U129" s="1"/>
      <c r="AA129" s="1"/>
    </row>
    <row r="130" ht="15.75" customHeight="1">
      <c r="A130" s="1"/>
      <c r="B130" s="1"/>
      <c r="C130" s="1"/>
      <c r="D130" s="1"/>
      <c r="G130" s="113"/>
      <c r="H130" s="1"/>
      <c r="I130" s="1"/>
      <c r="J130" s="136"/>
      <c r="M130" s="1"/>
      <c r="P130" s="1"/>
      <c r="Q130" s="1"/>
      <c r="U130" s="1"/>
      <c r="AA130" s="1"/>
    </row>
    <row r="131" ht="15.75" customHeight="1">
      <c r="A131" s="1"/>
      <c r="B131" s="1"/>
      <c r="C131" s="1"/>
      <c r="D131" s="1"/>
      <c r="G131" s="113"/>
      <c r="H131" s="1"/>
      <c r="I131" s="1"/>
      <c r="J131" s="136"/>
      <c r="M131" s="1"/>
      <c r="P131" s="1"/>
      <c r="Q131" s="1"/>
      <c r="U131" s="1"/>
      <c r="AA131" s="1"/>
    </row>
    <row r="132" ht="15.75" customHeight="1">
      <c r="A132" s="1"/>
      <c r="B132" s="1"/>
      <c r="C132" s="1"/>
      <c r="D132" s="1"/>
      <c r="G132" s="113"/>
      <c r="H132" s="1"/>
      <c r="I132" s="1"/>
      <c r="J132" s="136"/>
      <c r="M132" s="1"/>
      <c r="P132" s="1"/>
      <c r="Q132" s="1"/>
      <c r="U132" s="1"/>
      <c r="AA132" s="1"/>
    </row>
    <row r="133" ht="15.75" customHeight="1">
      <c r="A133" s="1"/>
      <c r="B133" s="1"/>
      <c r="C133" s="1"/>
      <c r="D133" s="1"/>
      <c r="G133" s="113"/>
      <c r="H133" s="1"/>
      <c r="I133" s="1"/>
      <c r="J133" s="136"/>
      <c r="M133" s="1"/>
      <c r="P133" s="1"/>
      <c r="Q133" s="1"/>
      <c r="U133" s="1"/>
      <c r="AA133" s="1"/>
    </row>
    <row r="134" ht="15.75" customHeight="1">
      <c r="A134" s="1"/>
      <c r="B134" s="1"/>
      <c r="C134" s="1"/>
      <c r="D134" s="1"/>
      <c r="G134" s="113"/>
      <c r="H134" s="1"/>
      <c r="I134" s="1"/>
      <c r="J134" s="136"/>
      <c r="M134" s="1"/>
      <c r="P134" s="1"/>
      <c r="Q134" s="1"/>
      <c r="U134" s="1"/>
      <c r="AA134" s="1"/>
    </row>
    <row r="135" ht="15.75" customHeight="1">
      <c r="A135" s="1"/>
      <c r="B135" s="1"/>
      <c r="C135" s="1"/>
      <c r="D135" s="1"/>
      <c r="G135" s="113"/>
      <c r="H135" s="1"/>
      <c r="I135" s="1"/>
      <c r="J135" s="136"/>
      <c r="M135" s="1"/>
      <c r="P135" s="1"/>
      <c r="Q135" s="1"/>
      <c r="U135" s="1"/>
      <c r="AA135" s="1"/>
    </row>
    <row r="136" ht="15.75" customHeight="1">
      <c r="A136" s="1"/>
      <c r="B136" s="1"/>
      <c r="C136" s="1"/>
      <c r="D136" s="1"/>
      <c r="G136" s="113"/>
      <c r="H136" s="1"/>
      <c r="I136" s="1"/>
      <c r="J136" s="136"/>
      <c r="M136" s="1"/>
      <c r="P136" s="1"/>
      <c r="Q136" s="1"/>
      <c r="U136" s="1"/>
      <c r="AA136" s="1"/>
    </row>
    <row r="137" ht="15.75" customHeight="1">
      <c r="A137" s="1"/>
      <c r="B137" s="1"/>
      <c r="C137" s="1"/>
      <c r="D137" s="1"/>
      <c r="G137" s="113"/>
      <c r="H137" s="1"/>
      <c r="I137" s="1"/>
      <c r="J137" s="136"/>
      <c r="M137" s="1"/>
      <c r="P137" s="1"/>
      <c r="Q137" s="1"/>
      <c r="U137" s="1"/>
      <c r="AA137" s="1"/>
    </row>
    <row r="138" ht="15.75" customHeight="1">
      <c r="A138" s="1"/>
      <c r="B138" s="1"/>
      <c r="C138" s="1"/>
      <c r="D138" s="1"/>
      <c r="G138" s="113"/>
      <c r="H138" s="1"/>
      <c r="I138" s="1"/>
      <c r="J138" s="136"/>
      <c r="M138" s="1"/>
      <c r="P138" s="1"/>
      <c r="Q138" s="1"/>
      <c r="U138" s="1"/>
      <c r="AA138" s="1"/>
    </row>
    <row r="139" ht="15.75" customHeight="1">
      <c r="A139" s="1"/>
      <c r="B139" s="1"/>
      <c r="C139" s="1"/>
      <c r="D139" s="1"/>
      <c r="G139" s="113"/>
      <c r="H139" s="1"/>
      <c r="I139" s="1"/>
      <c r="J139" s="136"/>
      <c r="M139" s="1"/>
      <c r="P139" s="1"/>
      <c r="Q139" s="1"/>
      <c r="U139" s="1"/>
      <c r="AA139" s="1"/>
    </row>
    <row r="140" ht="15.75" customHeight="1">
      <c r="A140" s="1"/>
      <c r="B140" s="1"/>
      <c r="C140" s="1"/>
      <c r="D140" s="1"/>
      <c r="G140" s="113"/>
      <c r="H140" s="1"/>
      <c r="I140" s="1"/>
      <c r="J140" s="136"/>
      <c r="M140" s="1"/>
      <c r="P140" s="1"/>
      <c r="Q140" s="1"/>
      <c r="U140" s="1"/>
      <c r="AA140" s="1"/>
    </row>
    <row r="141" ht="15.75" customHeight="1">
      <c r="A141" s="1"/>
      <c r="B141" s="1"/>
      <c r="C141" s="1"/>
      <c r="D141" s="1"/>
      <c r="G141" s="113"/>
      <c r="H141" s="1"/>
      <c r="I141" s="1"/>
      <c r="J141" s="136"/>
      <c r="M141" s="1"/>
      <c r="P141" s="1"/>
      <c r="Q141" s="1"/>
      <c r="U141" s="1"/>
      <c r="AA141" s="1"/>
    </row>
    <row r="142" ht="15.75" customHeight="1">
      <c r="A142" s="1"/>
      <c r="B142" s="1"/>
      <c r="C142" s="1"/>
      <c r="D142" s="1"/>
      <c r="G142" s="113"/>
      <c r="H142" s="1"/>
      <c r="I142" s="1"/>
      <c r="J142" s="136"/>
      <c r="M142" s="1"/>
      <c r="P142" s="1"/>
      <c r="Q142" s="1"/>
      <c r="U142" s="1"/>
      <c r="AA142" s="1"/>
    </row>
    <row r="143" ht="15.75" customHeight="1">
      <c r="A143" s="1"/>
      <c r="B143" s="1"/>
      <c r="C143" s="1"/>
      <c r="D143" s="1"/>
      <c r="G143" s="113"/>
      <c r="H143" s="1"/>
      <c r="I143" s="1"/>
      <c r="J143" s="136"/>
      <c r="M143" s="1"/>
      <c r="P143" s="1"/>
      <c r="Q143" s="1"/>
      <c r="U143" s="1"/>
      <c r="AA143" s="1"/>
    </row>
    <row r="144" ht="15.75" customHeight="1">
      <c r="A144" s="1"/>
      <c r="B144" s="1"/>
      <c r="C144" s="1"/>
      <c r="D144" s="1"/>
      <c r="G144" s="113"/>
      <c r="H144" s="1"/>
      <c r="I144" s="1"/>
      <c r="J144" s="136"/>
      <c r="M144" s="1"/>
      <c r="P144" s="1"/>
      <c r="Q144" s="1"/>
      <c r="U144" s="1"/>
      <c r="AA144" s="1"/>
    </row>
    <row r="145" ht="15.75" customHeight="1">
      <c r="A145" s="1"/>
      <c r="B145" s="1"/>
      <c r="C145" s="1"/>
      <c r="D145" s="1"/>
      <c r="G145" s="113"/>
      <c r="H145" s="1"/>
      <c r="I145" s="1"/>
      <c r="J145" s="136"/>
      <c r="M145" s="1"/>
      <c r="P145" s="1"/>
      <c r="Q145" s="1"/>
      <c r="U145" s="1"/>
      <c r="AA145" s="1"/>
    </row>
    <row r="146" ht="15.75" customHeight="1">
      <c r="A146" s="1"/>
      <c r="B146" s="1"/>
      <c r="C146" s="1"/>
      <c r="D146" s="1"/>
      <c r="G146" s="113"/>
      <c r="H146" s="1"/>
      <c r="I146" s="1"/>
      <c r="J146" s="136"/>
      <c r="M146" s="1"/>
      <c r="P146" s="1"/>
      <c r="Q146" s="1"/>
      <c r="U146" s="1"/>
      <c r="AA146" s="1"/>
    </row>
    <row r="147" ht="15.75" customHeight="1">
      <c r="A147" s="1"/>
      <c r="B147" s="1"/>
      <c r="C147" s="1"/>
      <c r="D147" s="1"/>
      <c r="G147" s="113"/>
      <c r="H147" s="1"/>
      <c r="I147" s="1"/>
      <c r="J147" s="136"/>
      <c r="M147" s="1"/>
      <c r="P147" s="1"/>
      <c r="Q147" s="1"/>
      <c r="U147" s="1"/>
      <c r="AA147" s="1"/>
    </row>
    <row r="148" ht="15.75" customHeight="1">
      <c r="A148" s="1"/>
      <c r="B148" s="1"/>
      <c r="C148" s="1"/>
      <c r="D148" s="1"/>
      <c r="G148" s="113"/>
      <c r="H148" s="1"/>
      <c r="I148" s="1"/>
      <c r="J148" s="136"/>
      <c r="M148" s="1"/>
      <c r="P148" s="1"/>
      <c r="Q148" s="1"/>
      <c r="U148" s="1"/>
      <c r="AA148" s="1"/>
    </row>
    <row r="149" ht="15.75" customHeight="1">
      <c r="A149" s="1"/>
      <c r="B149" s="1"/>
      <c r="C149" s="1"/>
      <c r="D149" s="1"/>
      <c r="G149" s="113"/>
      <c r="H149" s="1"/>
      <c r="I149" s="1"/>
      <c r="J149" s="136"/>
      <c r="M149" s="1"/>
      <c r="P149" s="1"/>
      <c r="Q149" s="1"/>
      <c r="U149" s="1"/>
      <c r="AA149" s="1"/>
    </row>
    <row r="150" ht="15.75" customHeight="1">
      <c r="A150" s="1"/>
      <c r="B150" s="1"/>
      <c r="C150" s="1"/>
      <c r="D150" s="1"/>
      <c r="G150" s="113"/>
      <c r="H150" s="1"/>
      <c r="I150" s="1"/>
      <c r="J150" s="136"/>
      <c r="M150" s="1"/>
      <c r="P150" s="1"/>
      <c r="Q150" s="1"/>
      <c r="U150" s="1"/>
      <c r="AA150" s="1"/>
    </row>
    <row r="151" ht="15.75" customHeight="1">
      <c r="A151" s="1"/>
      <c r="B151" s="1"/>
      <c r="C151" s="1"/>
      <c r="D151" s="1"/>
      <c r="G151" s="113"/>
      <c r="H151" s="1"/>
      <c r="I151" s="1"/>
      <c r="J151" s="136"/>
      <c r="M151" s="1"/>
      <c r="P151" s="1"/>
      <c r="Q151" s="1"/>
      <c r="U151" s="1"/>
      <c r="AA151" s="1"/>
    </row>
    <row r="152" ht="15.75" customHeight="1">
      <c r="A152" s="1"/>
      <c r="B152" s="1"/>
      <c r="C152" s="1"/>
      <c r="D152" s="1"/>
      <c r="G152" s="113"/>
      <c r="H152" s="1"/>
      <c r="I152" s="1"/>
      <c r="J152" s="136"/>
      <c r="M152" s="1"/>
      <c r="P152" s="1"/>
      <c r="Q152" s="1"/>
      <c r="U152" s="1"/>
      <c r="AA152" s="1"/>
    </row>
    <row r="153" ht="15.75" customHeight="1">
      <c r="A153" s="1"/>
      <c r="B153" s="1"/>
      <c r="C153" s="1"/>
      <c r="D153" s="1"/>
      <c r="G153" s="113"/>
      <c r="H153" s="1"/>
      <c r="I153" s="1"/>
      <c r="J153" s="136"/>
      <c r="M153" s="1"/>
      <c r="P153" s="1"/>
      <c r="Q153" s="1"/>
      <c r="U153" s="1"/>
      <c r="AA153" s="1"/>
    </row>
    <row r="154" ht="15.75" customHeight="1">
      <c r="A154" s="1"/>
      <c r="B154" s="1"/>
      <c r="C154" s="1"/>
      <c r="D154" s="1"/>
      <c r="G154" s="113"/>
      <c r="H154" s="1"/>
      <c r="I154" s="1"/>
      <c r="J154" s="136"/>
      <c r="M154" s="1"/>
      <c r="P154" s="1"/>
      <c r="Q154" s="1"/>
      <c r="U154" s="1"/>
      <c r="AA154" s="1"/>
    </row>
    <row r="155" ht="15.75" customHeight="1">
      <c r="A155" s="1"/>
      <c r="B155" s="1"/>
      <c r="C155" s="1"/>
      <c r="D155" s="1"/>
      <c r="G155" s="113"/>
      <c r="H155" s="1"/>
      <c r="I155" s="1"/>
      <c r="J155" s="136"/>
      <c r="M155" s="1"/>
      <c r="P155" s="1"/>
      <c r="Q155" s="1"/>
      <c r="U155" s="1"/>
      <c r="AA155" s="1"/>
    </row>
    <row r="156" ht="15.75" customHeight="1">
      <c r="A156" s="1"/>
      <c r="B156" s="1"/>
      <c r="C156" s="1"/>
      <c r="D156" s="1"/>
      <c r="G156" s="113"/>
      <c r="H156" s="1"/>
      <c r="I156" s="1"/>
      <c r="J156" s="136"/>
      <c r="M156" s="1"/>
      <c r="P156" s="1"/>
      <c r="Q156" s="1"/>
      <c r="U156" s="1"/>
      <c r="AA156" s="1"/>
    </row>
    <row r="157" ht="15.75" customHeight="1">
      <c r="A157" s="1"/>
      <c r="B157" s="1"/>
      <c r="C157" s="1"/>
      <c r="D157" s="1"/>
      <c r="G157" s="113"/>
      <c r="H157" s="1"/>
      <c r="I157" s="1"/>
      <c r="J157" s="136"/>
      <c r="M157" s="1"/>
      <c r="P157" s="1"/>
      <c r="Q157" s="1"/>
      <c r="U157" s="1"/>
      <c r="AA157" s="1"/>
    </row>
    <row r="158" ht="15.75" customHeight="1">
      <c r="A158" s="1"/>
      <c r="B158" s="1"/>
      <c r="C158" s="1"/>
      <c r="D158" s="1"/>
      <c r="G158" s="113"/>
      <c r="H158" s="1"/>
      <c r="I158" s="1"/>
      <c r="J158" s="136"/>
      <c r="M158" s="1"/>
      <c r="P158" s="1"/>
      <c r="Q158" s="1"/>
      <c r="U158" s="1"/>
      <c r="AA158" s="1"/>
    </row>
    <row r="159" ht="15.75" customHeight="1">
      <c r="A159" s="1"/>
      <c r="B159" s="1"/>
      <c r="C159" s="1"/>
      <c r="D159" s="1"/>
      <c r="G159" s="113"/>
      <c r="H159" s="1"/>
      <c r="I159" s="1"/>
      <c r="J159" s="136"/>
      <c r="M159" s="1"/>
      <c r="P159" s="1"/>
      <c r="Q159" s="1"/>
      <c r="U159" s="1"/>
      <c r="AA159" s="1"/>
    </row>
    <row r="160" ht="15.75" customHeight="1">
      <c r="A160" s="1"/>
      <c r="B160" s="1"/>
      <c r="C160" s="1"/>
      <c r="D160" s="1"/>
      <c r="G160" s="113"/>
      <c r="H160" s="1"/>
      <c r="I160" s="1"/>
      <c r="J160" s="136"/>
      <c r="M160" s="1"/>
      <c r="P160" s="1"/>
      <c r="Q160" s="1"/>
      <c r="U160" s="1"/>
      <c r="AA160" s="1"/>
    </row>
    <row r="161" ht="15.75" customHeight="1">
      <c r="A161" s="1"/>
      <c r="B161" s="1"/>
      <c r="C161" s="1"/>
      <c r="D161" s="1"/>
      <c r="G161" s="113"/>
      <c r="H161" s="1"/>
      <c r="I161" s="1"/>
      <c r="J161" s="136"/>
      <c r="M161" s="1"/>
      <c r="P161" s="1"/>
      <c r="Q161" s="1"/>
      <c r="U161" s="1"/>
      <c r="AA161" s="1"/>
    </row>
    <row r="162" ht="15.75" customHeight="1">
      <c r="A162" s="1"/>
      <c r="B162" s="1"/>
      <c r="C162" s="1"/>
      <c r="D162" s="1"/>
      <c r="G162" s="113"/>
      <c r="H162" s="1"/>
      <c r="I162" s="1"/>
      <c r="J162" s="136"/>
      <c r="M162" s="1"/>
      <c r="P162" s="1"/>
      <c r="Q162" s="1"/>
      <c r="U162" s="1"/>
      <c r="AA162" s="1"/>
    </row>
    <row r="163" ht="15.75" customHeight="1">
      <c r="A163" s="1"/>
      <c r="B163" s="1"/>
      <c r="C163" s="1"/>
      <c r="D163" s="1"/>
      <c r="G163" s="113"/>
      <c r="H163" s="1"/>
      <c r="I163" s="1"/>
      <c r="J163" s="136"/>
      <c r="M163" s="1"/>
      <c r="P163" s="1"/>
      <c r="Q163" s="1"/>
      <c r="U163" s="1"/>
      <c r="AA163" s="1"/>
    </row>
    <row r="164" ht="15.75" customHeight="1">
      <c r="A164" s="1"/>
      <c r="B164" s="1"/>
      <c r="C164" s="1"/>
      <c r="D164" s="1"/>
      <c r="G164" s="113"/>
      <c r="H164" s="1"/>
      <c r="I164" s="1"/>
      <c r="J164" s="136"/>
      <c r="M164" s="1"/>
      <c r="P164" s="1"/>
      <c r="Q164" s="1"/>
      <c r="U164" s="1"/>
      <c r="AA164" s="1"/>
    </row>
    <row r="165" ht="15.75" customHeight="1">
      <c r="A165" s="1"/>
      <c r="B165" s="1"/>
      <c r="C165" s="1"/>
      <c r="D165" s="1"/>
      <c r="G165" s="113"/>
      <c r="H165" s="1"/>
      <c r="I165" s="1"/>
      <c r="J165" s="136"/>
      <c r="M165" s="1"/>
      <c r="P165" s="1"/>
      <c r="Q165" s="1"/>
      <c r="U165" s="1"/>
      <c r="AA165" s="1"/>
    </row>
    <row r="166" ht="15.75" customHeight="1">
      <c r="A166" s="1"/>
      <c r="B166" s="1"/>
      <c r="C166" s="1"/>
      <c r="D166" s="1"/>
      <c r="G166" s="113"/>
      <c r="H166" s="1"/>
      <c r="I166" s="1"/>
      <c r="J166" s="136"/>
      <c r="M166" s="1"/>
      <c r="P166" s="1"/>
      <c r="Q166" s="1"/>
      <c r="U166" s="1"/>
      <c r="AA166" s="1"/>
    </row>
    <row r="167" ht="15.75" customHeight="1">
      <c r="A167" s="1"/>
      <c r="B167" s="1"/>
      <c r="C167" s="1"/>
      <c r="D167" s="1"/>
      <c r="G167" s="113"/>
      <c r="H167" s="1"/>
      <c r="I167" s="1"/>
      <c r="J167" s="136"/>
      <c r="M167" s="1"/>
      <c r="P167" s="1"/>
      <c r="Q167" s="1"/>
      <c r="U167" s="1"/>
      <c r="AA167" s="1"/>
    </row>
    <row r="168" ht="15.75" customHeight="1">
      <c r="A168" s="1"/>
      <c r="B168" s="1"/>
      <c r="C168" s="1"/>
      <c r="D168" s="1"/>
      <c r="G168" s="113"/>
      <c r="H168" s="1"/>
      <c r="I168" s="1"/>
      <c r="J168" s="136"/>
      <c r="M168" s="1"/>
      <c r="P168" s="1"/>
      <c r="Q168" s="1"/>
      <c r="U168" s="1"/>
      <c r="AA168" s="1"/>
    </row>
    <row r="169" ht="15.75" customHeight="1">
      <c r="A169" s="1"/>
      <c r="B169" s="1"/>
      <c r="C169" s="1"/>
      <c r="D169" s="1"/>
      <c r="G169" s="113"/>
      <c r="H169" s="1"/>
      <c r="I169" s="1"/>
      <c r="J169" s="136"/>
      <c r="M169" s="1"/>
      <c r="P169" s="1"/>
      <c r="Q169" s="1"/>
      <c r="U169" s="1"/>
      <c r="AA169" s="1"/>
    </row>
    <row r="170" ht="15.75" customHeight="1">
      <c r="A170" s="1"/>
      <c r="B170" s="1"/>
      <c r="C170" s="1"/>
      <c r="D170" s="1"/>
      <c r="G170" s="113"/>
      <c r="H170" s="1"/>
      <c r="I170" s="1"/>
      <c r="J170" s="136"/>
      <c r="M170" s="1"/>
      <c r="P170" s="1"/>
      <c r="Q170" s="1"/>
      <c r="U170" s="1"/>
      <c r="AA170" s="1"/>
    </row>
    <row r="171" ht="15.75" customHeight="1">
      <c r="A171" s="1"/>
      <c r="B171" s="1"/>
      <c r="C171" s="1"/>
      <c r="D171" s="1"/>
      <c r="G171" s="113"/>
      <c r="H171" s="1"/>
      <c r="I171" s="1"/>
      <c r="J171" s="136"/>
      <c r="M171" s="1"/>
      <c r="P171" s="1"/>
      <c r="Q171" s="1"/>
      <c r="U171" s="1"/>
      <c r="AA171" s="1"/>
    </row>
    <row r="172" ht="15.75" customHeight="1">
      <c r="A172" s="1"/>
      <c r="B172" s="1"/>
      <c r="C172" s="1"/>
      <c r="D172" s="1"/>
      <c r="G172" s="113"/>
      <c r="H172" s="1"/>
      <c r="I172" s="1"/>
      <c r="J172" s="136"/>
      <c r="M172" s="1"/>
      <c r="P172" s="1"/>
      <c r="Q172" s="1"/>
      <c r="U172" s="1"/>
      <c r="AA172" s="1"/>
    </row>
    <row r="173" ht="15.75" customHeight="1">
      <c r="A173" s="1"/>
      <c r="B173" s="1"/>
      <c r="C173" s="1"/>
      <c r="D173" s="1"/>
      <c r="G173" s="113"/>
      <c r="H173" s="1"/>
      <c r="I173" s="1"/>
      <c r="J173" s="136"/>
      <c r="M173" s="1"/>
      <c r="P173" s="1"/>
      <c r="Q173" s="1"/>
      <c r="U173" s="1"/>
      <c r="AA173" s="1"/>
    </row>
    <row r="174" ht="15.75" customHeight="1">
      <c r="A174" s="1"/>
      <c r="B174" s="1"/>
      <c r="C174" s="1"/>
      <c r="D174" s="1"/>
      <c r="G174" s="113"/>
      <c r="H174" s="1"/>
      <c r="I174" s="1"/>
      <c r="J174" s="136"/>
      <c r="M174" s="1"/>
      <c r="P174" s="1"/>
      <c r="Q174" s="1"/>
      <c r="U174" s="1"/>
      <c r="AA174" s="1"/>
    </row>
    <row r="175" ht="15.75" customHeight="1">
      <c r="A175" s="1"/>
      <c r="B175" s="1"/>
      <c r="C175" s="1"/>
      <c r="D175" s="1"/>
      <c r="G175" s="113"/>
      <c r="H175" s="1"/>
      <c r="I175" s="1"/>
      <c r="J175" s="136"/>
      <c r="M175" s="1"/>
      <c r="P175" s="1"/>
      <c r="Q175" s="1"/>
      <c r="U175" s="1"/>
      <c r="AA175" s="1"/>
    </row>
    <row r="176" ht="15.75" customHeight="1">
      <c r="A176" s="1"/>
      <c r="B176" s="1"/>
      <c r="C176" s="1"/>
      <c r="D176" s="1"/>
      <c r="G176" s="113"/>
      <c r="H176" s="1"/>
      <c r="I176" s="1"/>
      <c r="J176" s="136"/>
      <c r="M176" s="1"/>
      <c r="P176" s="1"/>
      <c r="Q176" s="1"/>
      <c r="U176" s="1"/>
      <c r="AA176" s="1"/>
    </row>
    <row r="177" ht="15.75" customHeight="1">
      <c r="A177" s="1"/>
      <c r="B177" s="1"/>
      <c r="C177" s="1"/>
      <c r="D177" s="1"/>
      <c r="G177" s="113"/>
      <c r="H177" s="1"/>
      <c r="I177" s="1"/>
      <c r="J177" s="136"/>
      <c r="M177" s="1"/>
      <c r="P177" s="1"/>
      <c r="Q177" s="1"/>
      <c r="U177" s="1"/>
      <c r="AA177" s="1"/>
    </row>
    <row r="178" ht="15.75" customHeight="1">
      <c r="A178" s="1"/>
      <c r="B178" s="1"/>
      <c r="C178" s="1"/>
      <c r="D178" s="1"/>
      <c r="G178" s="113"/>
      <c r="H178" s="1"/>
      <c r="I178" s="1"/>
      <c r="J178" s="136"/>
      <c r="M178" s="1"/>
      <c r="P178" s="1"/>
      <c r="Q178" s="1"/>
      <c r="U178" s="1"/>
      <c r="AA178" s="1"/>
    </row>
    <row r="179" ht="15.75" customHeight="1">
      <c r="A179" s="1"/>
      <c r="B179" s="1"/>
      <c r="C179" s="1"/>
      <c r="D179" s="1"/>
      <c r="G179" s="113"/>
      <c r="H179" s="1"/>
      <c r="I179" s="1"/>
      <c r="J179" s="136"/>
      <c r="M179" s="1"/>
      <c r="P179" s="1"/>
      <c r="Q179" s="1"/>
      <c r="U179" s="1"/>
      <c r="AA179" s="1"/>
    </row>
    <row r="180" ht="15.75" customHeight="1">
      <c r="A180" s="1"/>
      <c r="B180" s="1"/>
      <c r="C180" s="1"/>
      <c r="D180" s="1"/>
      <c r="G180" s="113"/>
      <c r="H180" s="1"/>
      <c r="I180" s="1"/>
      <c r="J180" s="136"/>
      <c r="M180" s="1"/>
      <c r="P180" s="1"/>
      <c r="Q180" s="1"/>
      <c r="U180" s="1"/>
      <c r="AA180" s="1"/>
    </row>
    <row r="181" ht="15.75" customHeight="1">
      <c r="A181" s="1"/>
      <c r="B181" s="1"/>
      <c r="C181" s="1"/>
      <c r="D181" s="1"/>
      <c r="G181" s="113"/>
      <c r="H181" s="1"/>
      <c r="I181" s="1"/>
      <c r="J181" s="136"/>
      <c r="M181" s="1"/>
      <c r="P181" s="1"/>
      <c r="Q181" s="1"/>
      <c r="U181" s="1"/>
      <c r="AA181" s="1"/>
    </row>
    <row r="182" ht="15.75" customHeight="1">
      <c r="A182" s="1"/>
      <c r="B182" s="1"/>
      <c r="C182" s="1"/>
      <c r="D182" s="1"/>
      <c r="G182" s="113"/>
      <c r="H182" s="1"/>
      <c r="I182" s="1"/>
      <c r="J182" s="136"/>
      <c r="M182" s="1"/>
      <c r="P182" s="1"/>
      <c r="Q182" s="1"/>
      <c r="U182" s="1"/>
      <c r="AA182" s="1"/>
    </row>
    <row r="183" ht="15.75" customHeight="1">
      <c r="A183" s="1"/>
      <c r="B183" s="1"/>
      <c r="C183" s="1"/>
      <c r="D183" s="1"/>
      <c r="G183" s="113"/>
      <c r="H183" s="1"/>
      <c r="I183" s="1"/>
      <c r="J183" s="136"/>
      <c r="M183" s="1"/>
      <c r="P183" s="1"/>
      <c r="Q183" s="1"/>
      <c r="U183" s="1"/>
      <c r="AA183" s="1"/>
    </row>
    <row r="184" ht="15.75" customHeight="1">
      <c r="A184" s="1"/>
      <c r="B184" s="1"/>
      <c r="C184" s="1"/>
      <c r="D184" s="1"/>
      <c r="G184" s="113"/>
      <c r="H184" s="1"/>
      <c r="I184" s="1"/>
      <c r="J184" s="136"/>
      <c r="M184" s="1"/>
      <c r="P184" s="1"/>
      <c r="Q184" s="1"/>
      <c r="U184" s="1"/>
      <c r="AA184" s="1"/>
    </row>
    <row r="185" ht="15.75" customHeight="1">
      <c r="A185" s="1"/>
      <c r="B185" s="1"/>
      <c r="C185" s="1"/>
      <c r="D185" s="1"/>
      <c r="G185" s="113"/>
      <c r="H185" s="1"/>
      <c r="I185" s="1"/>
      <c r="J185" s="136"/>
      <c r="M185" s="1"/>
      <c r="P185" s="1"/>
      <c r="Q185" s="1"/>
      <c r="U185" s="1"/>
      <c r="AA185" s="1"/>
    </row>
    <row r="186" ht="15.75" customHeight="1">
      <c r="A186" s="1"/>
      <c r="B186" s="1"/>
      <c r="C186" s="1"/>
      <c r="D186" s="1"/>
      <c r="G186" s="113"/>
      <c r="H186" s="1"/>
      <c r="I186" s="1"/>
      <c r="J186" s="136"/>
      <c r="M186" s="1"/>
      <c r="P186" s="1"/>
      <c r="Q186" s="1"/>
      <c r="U186" s="1"/>
      <c r="AA186" s="1"/>
    </row>
    <row r="187" ht="15.75" customHeight="1">
      <c r="A187" s="1"/>
      <c r="B187" s="1"/>
      <c r="C187" s="1"/>
      <c r="D187" s="1"/>
      <c r="G187" s="113"/>
      <c r="H187" s="1"/>
      <c r="I187" s="1"/>
      <c r="J187" s="136"/>
      <c r="M187" s="1"/>
      <c r="P187" s="1"/>
      <c r="Q187" s="1"/>
      <c r="U187" s="1"/>
      <c r="AA187" s="1"/>
    </row>
    <row r="188" ht="15.75" customHeight="1">
      <c r="A188" s="1"/>
      <c r="B188" s="1"/>
      <c r="C188" s="1"/>
      <c r="D188" s="1"/>
      <c r="G188" s="113"/>
      <c r="H188" s="1"/>
      <c r="I188" s="1"/>
      <c r="J188" s="136"/>
      <c r="M188" s="1"/>
      <c r="P188" s="1"/>
      <c r="Q188" s="1"/>
      <c r="U188" s="1"/>
      <c r="AA188" s="1"/>
    </row>
    <row r="189" ht="15.75" customHeight="1">
      <c r="A189" s="1"/>
      <c r="B189" s="1"/>
      <c r="C189" s="1"/>
      <c r="D189" s="1"/>
      <c r="G189" s="113"/>
      <c r="H189" s="1"/>
      <c r="I189" s="1"/>
      <c r="J189" s="136"/>
      <c r="M189" s="1"/>
      <c r="P189" s="1"/>
      <c r="Q189" s="1"/>
      <c r="U189" s="1"/>
      <c r="AA189" s="1"/>
    </row>
    <row r="190" ht="15.75" customHeight="1">
      <c r="A190" s="1"/>
      <c r="B190" s="1"/>
      <c r="C190" s="1"/>
      <c r="D190" s="1"/>
      <c r="G190" s="113"/>
      <c r="H190" s="1"/>
      <c r="I190" s="1"/>
      <c r="J190" s="136"/>
      <c r="M190" s="1"/>
      <c r="P190" s="1"/>
      <c r="Q190" s="1"/>
      <c r="U190" s="1"/>
      <c r="AA190" s="1"/>
    </row>
    <row r="191" ht="15.75" customHeight="1">
      <c r="A191" s="1"/>
      <c r="B191" s="1"/>
      <c r="C191" s="1"/>
      <c r="D191" s="1"/>
      <c r="G191" s="113"/>
      <c r="H191" s="1"/>
      <c r="I191" s="1"/>
      <c r="J191" s="136"/>
      <c r="M191" s="1"/>
      <c r="P191" s="1"/>
      <c r="Q191" s="1"/>
      <c r="U191" s="1"/>
      <c r="AA191" s="1"/>
    </row>
    <row r="192" ht="15.75" customHeight="1">
      <c r="A192" s="1"/>
      <c r="B192" s="1"/>
      <c r="C192" s="1"/>
      <c r="D192" s="1"/>
      <c r="G192" s="113"/>
      <c r="H192" s="1"/>
      <c r="I192" s="1"/>
      <c r="J192" s="136"/>
      <c r="M192" s="1"/>
      <c r="P192" s="1"/>
      <c r="Q192" s="1"/>
      <c r="U192" s="1"/>
      <c r="AA192" s="1"/>
    </row>
    <row r="193" ht="15.75" customHeight="1">
      <c r="A193" s="1"/>
      <c r="B193" s="1"/>
      <c r="C193" s="1"/>
      <c r="D193" s="1"/>
      <c r="G193" s="113"/>
      <c r="H193" s="1"/>
      <c r="I193" s="1"/>
      <c r="J193" s="136"/>
      <c r="M193" s="1"/>
      <c r="P193" s="1"/>
      <c r="Q193" s="1"/>
      <c r="U193" s="1"/>
      <c r="AA193" s="1"/>
    </row>
    <row r="194" ht="15.75" customHeight="1">
      <c r="A194" s="1"/>
      <c r="B194" s="1"/>
      <c r="C194" s="1"/>
      <c r="D194" s="1"/>
      <c r="G194" s="113"/>
      <c r="H194" s="1"/>
      <c r="I194" s="1"/>
      <c r="J194" s="136"/>
      <c r="M194" s="1"/>
      <c r="P194" s="1"/>
      <c r="Q194" s="1"/>
      <c r="U194" s="1"/>
      <c r="AA194" s="1"/>
    </row>
    <row r="195" ht="15.75" customHeight="1">
      <c r="A195" s="1"/>
      <c r="B195" s="1"/>
      <c r="C195" s="1"/>
      <c r="D195" s="1"/>
      <c r="G195" s="113"/>
      <c r="H195" s="1"/>
      <c r="I195" s="1"/>
      <c r="J195" s="136"/>
      <c r="M195" s="1"/>
      <c r="P195" s="1"/>
      <c r="Q195" s="1"/>
      <c r="U195" s="1"/>
      <c r="AA195" s="1"/>
    </row>
    <row r="196" ht="15.75" customHeight="1">
      <c r="A196" s="1"/>
      <c r="B196" s="1"/>
      <c r="C196" s="1"/>
      <c r="D196" s="1"/>
      <c r="G196" s="113"/>
      <c r="H196" s="1"/>
      <c r="I196" s="1"/>
      <c r="J196" s="136"/>
      <c r="M196" s="1"/>
      <c r="P196" s="1"/>
      <c r="Q196" s="1"/>
      <c r="U196" s="1"/>
      <c r="AA196" s="1"/>
    </row>
    <row r="197" ht="15.75" customHeight="1">
      <c r="A197" s="1"/>
      <c r="B197" s="1"/>
      <c r="C197" s="1"/>
      <c r="D197" s="1"/>
      <c r="G197" s="113"/>
      <c r="H197" s="1"/>
      <c r="I197" s="1"/>
      <c r="J197" s="136"/>
      <c r="M197" s="1"/>
      <c r="P197" s="1"/>
      <c r="Q197" s="1"/>
      <c r="U197" s="1"/>
      <c r="AA197" s="1"/>
    </row>
    <row r="198" ht="15.75" customHeight="1">
      <c r="A198" s="1"/>
      <c r="B198" s="1"/>
      <c r="C198" s="1"/>
      <c r="D198" s="1"/>
      <c r="G198" s="113"/>
      <c r="H198" s="1"/>
      <c r="I198" s="1"/>
      <c r="J198" s="136"/>
      <c r="M198" s="1"/>
      <c r="P198" s="1"/>
      <c r="Q198" s="1"/>
      <c r="U198" s="1"/>
      <c r="AA198" s="1"/>
    </row>
    <row r="199" ht="15.75" customHeight="1">
      <c r="A199" s="1"/>
      <c r="B199" s="1"/>
      <c r="C199" s="1"/>
      <c r="D199" s="1"/>
      <c r="G199" s="113"/>
      <c r="H199" s="1"/>
      <c r="I199" s="1"/>
      <c r="J199" s="136"/>
      <c r="M199" s="1"/>
      <c r="P199" s="1"/>
      <c r="Q199" s="1"/>
      <c r="U199" s="1"/>
      <c r="AA199" s="1"/>
    </row>
    <row r="200" ht="15.75" customHeight="1">
      <c r="A200" s="1"/>
      <c r="B200" s="1"/>
      <c r="C200" s="1"/>
      <c r="D200" s="1"/>
      <c r="G200" s="113"/>
      <c r="H200" s="1"/>
      <c r="I200" s="1"/>
      <c r="J200" s="136"/>
      <c r="M200" s="1"/>
      <c r="P200" s="1"/>
      <c r="Q200" s="1"/>
      <c r="U200" s="1"/>
      <c r="AA200" s="1"/>
    </row>
    <row r="201" ht="15.75" customHeight="1">
      <c r="A201" s="1"/>
      <c r="B201" s="1"/>
      <c r="C201" s="1"/>
      <c r="D201" s="1"/>
      <c r="G201" s="113"/>
      <c r="H201" s="1"/>
      <c r="I201" s="1"/>
      <c r="J201" s="136"/>
      <c r="M201" s="1"/>
      <c r="P201" s="1"/>
      <c r="Q201" s="1"/>
      <c r="U201" s="1"/>
      <c r="AA201" s="1"/>
    </row>
    <row r="202" ht="15.75" customHeight="1">
      <c r="A202" s="1"/>
      <c r="B202" s="1"/>
      <c r="C202" s="1"/>
      <c r="D202" s="1"/>
      <c r="G202" s="113"/>
      <c r="H202" s="1"/>
      <c r="I202" s="1"/>
      <c r="J202" s="136"/>
      <c r="M202" s="1"/>
      <c r="P202" s="1"/>
      <c r="Q202" s="1"/>
      <c r="U202" s="1"/>
      <c r="AA202" s="1"/>
    </row>
    <row r="203" ht="15.75" customHeight="1">
      <c r="A203" s="1"/>
      <c r="B203" s="1"/>
      <c r="C203" s="1"/>
      <c r="D203" s="1"/>
      <c r="G203" s="113"/>
      <c r="H203" s="1"/>
      <c r="I203" s="1"/>
      <c r="J203" s="136"/>
      <c r="M203" s="1"/>
      <c r="P203" s="1"/>
      <c r="Q203" s="1"/>
      <c r="U203" s="1"/>
      <c r="AA203" s="1"/>
    </row>
    <row r="204" ht="15.75" customHeight="1">
      <c r="A204" s="1"/>
      <c r="B204" s="1"/>
      <c r="C204" s="1"/>
      <c r="D204" s="1"/>
      <c r="G204" s="113"/>
      <c r="H204" s="1"/>
      <c r="I204" s="1"/>
      <c r="J204" s="136"/>
      <c r="M204" s="1"/>
      <c r="P204" s="1"/>
      <c r="Q204" s="1"/>
      <c r="U204" s="1"/>
      <c r="AA204" s="1"/>
    </row>
    <row r="205" ht="15.75" customHeight="1">
      <c r="A205" s="1"/>
      <c r="B205" s="1"/>
      <c r="C205" s="1"/>
      <c r="D205" s="1"/>
      <c r="G205" s="113"/>
      <c r="H205" s="1"/>
      <c r="I205" s="1"/>
      <c r="J205" s="136"/>
      <c r="M205" s="1"/>
      <c r="P205" s="1"/>
      <c r="Q205" s="1"/>
      <c r="U205" s="1"/>
      <c r="AA205" s="1"/>
    </row>
    <row r="206" ht="15.75" customHeight="1">
      <c r="A206" s="1"/>
      <c r="B206" s="1"/>
      <c r="C206" s="1"/>
      <c r="D206" s="1"/>
      <c r="G206" s="113"/>
      <c r="H206" s="1"/>
      <c r="I206" s="1"/>
      <c r="J206" s="136"/>
      <c r="M206" s="1"/>
      <c r="P206" s="1"/>
      <c r="Q206" s="1"/>
      <c r="U206" s="1"/>
      <c r="AA206" s="1"/>
    </row>
    <row r="207" ht="15.75" customHeight="1">
      <c r="A207" s="1"/>
      <c r="B207" s="1"/>
      <c r="C207" s="1"/>
      <c r="D207" s="1"/>
      <c r="G207" s="113"/>
      <c r="H207" s="1"/>
      <c r="I207" s="1"/>
      <c r="J207" s="136"/>
      <c r="M207" s="1"/>
      <c r="P207" s="1"/>
      <c r="Q207" s="1"/>
      <c r="U207" s="1"/>
      <c r="AA207" s="1"/>
    </row>
    <row r="208" ht="15.75" customHeight="1">
      <c r="A208" s="1"/>
      <c r="B208" s="1"/>
      <c r="C208" s="1"/>
      <c r="D208" s="1"/>
      <c r="G208" s="113"/>
      <c r="H208" s="1"/>
      <c r="I208" s="1"/>
      <c r="J208" s="136"/>
      <c r="M208" s="1"/>
      <c r="P208" s="1"/>
      <c r="Q208" s="1"/>
      <c r="U208" s="1"/>
      <c r="AA208" s="1"/>
    </row>
    <row r="209" ht="15.75" customHeight="1">
      <c r="A209" s="1"/>
      <c r="B209" s="1"/>
      <c r="C209" s="1"/>
      <c r="D209" s="1"/>
      <c r="G209" s="113"/>
      <c r="H209" s="1"/>
      <c r="I209" s="1"/>
      <c r="J209" s="136"/>
      <c r="M209" s="1"/>
      <c r="P209" s="1"/>
      <c r="Q209" s="1"/>
      <c r="U209" s="1"/>
      <c r="AA209" s="1"/>
    </row>
    <row r="210" ht="15.75" customHeight="1">
      <c r="A210" s="1"/>
      <c r="B210" s="1"/>
      <c r="C210" s="1"/>
      <c r="D210" s="1"/>
      <c r="G210" s="113"/>
      <c r="H210" s="1"/>
      <c r="I210" s="1"/>
      <c r="J210" s="136"/>
      <c r="M210" s="1"/>
      <c r="P210" s="1"/>
      <c r="Q210" s="1"/>
      <c r="U210" s="1"/>
      <c r="AA210" s="1"/>
    </row>
    <row r="211" ht="15.75" customHeight="1">
      <c r="A211" s="1"/>
      <c r="B211" s="1"/>
      <c r="C211" s="1"/>
      <c r="D211" s="1"/>
      <c r="G211" s="113"/>
      <c r="H211" s="1"/>
      <c r="I211" s="1"/>
      <c r="J211" s="136"/>
      <c r="M211" s="1"/>
      <c r="P211" s="1"/>
      <c r="Q211" s="1"/>
      <c r="U211" s="1"/>
      <c r="AA211" s="1"/>
    </row>
    <row r="212" ht="15.75" customHeight="1">
      <c r="A212" s="1"/>
      <c r="B212" s="1"/>
      <c r="C212" s="1"/>
      <c r="D212" s="1"/>
      <c r="G212" s="113"/>
      <c r="H212" s="1"/>
      <c r="I212" s="1"/>
      <c r="J212" s="136"/>
      <c r="M212" s="1"/>
      <c r="P212" s="1"/>
      <c r="Q212" s="1"/>
      <c r="U212" s="1"/>
      <c r="AA212" s="1"/>
    </row>
    <row r="213" ht="15.75" customHeight="1">
      <c r="A213" s="1"/>
      <c r="B213" s="1"/>
      <c r="C213" s="1"/>
      <c r="D213" s="1"/>
      <c r="G213" s="113"/>
      <c r="H213" s="1"/>
      <c r="I213" s="1"/>
      <c r="J213" s="136"/>
      <c r="M213" s="1"/>
      <c r="P213" s="1"/>
      <c r="Q213" s="1"/>
      <c r="U213" s="1"/>
      <c r="AA213" s="1"/>
    </row>
    <row r="214" ht="15.75" customHeight="1">
      <c r="A214" s="1"/>
      <c r="B214" s="1"/>
      <c r="C214" s="1"/>
      <c r="D214" s="1"/>
      <c r="G214" s="113"/>
      <c r="H214" s="1"/>
      <c r="I214" s="1"/>
      <c r="J214" s="136"/>
      <c r="M214" s="1"/>
      <c r="P214" s="1"/>
      <c r="Q214" s="1"/>
      <c r="U214" s="1"/>
      <c r="AA214" s="1"/>
    </row>
    <row r="215" ht="15.75" customHeight="1">
      <c r="A215" s="1"/>
      <c r="B215" s="1"/>
      <c r="C215" s="1"/>
      <c r="D215" s="1"/>
      <c r="G215" s="113"/>
      <c r="H215" s="1"/>
      <c r="I215" s="1"/>
      <c r="J215" s="136"/>
      <c r="M215" s="1"/>
      <c r="P215" s="1"/>
      <c r="Q215" s="1"/>
      <c r="U215" s="1"/>
      <c r="AA215" s="1"/>
    </row>
    <row r="216" ht="15.75" customHeight="1">
      <c r="A216" s="1"/>
      <c r="B216" s="1"/>
      <c r="C216" s="1"/>
      <c r="D216" s="1"/>
      <c r="G216" s="113"/>
      <c r="H216" s="1"/>
      <c r="I216" s="1"/>
      <c r="J216" s="136"/>
      <c r="M216" s="1"/>
      <c r="P216" s="1"/>
      <c r="Q216" s="1"/>
      <c r="U216" s="1"/>
      <c r="AA216" s="1"/>
    </row>
    <row r="217" ht="15.75" customHeight="1">
      <c r="A217" s="1"/>
      <c r="B217" s="1"/>
      <c r="C217" s="1"/>
      <c r="D217" s="1"/>
      <c r="G217" s="113"/>
      <c r="H217" s="1"/>
      <c r="I217" s="1"/>
      <c r="J217" s="136"/>
      <c r="M217" s="1"/>
      <c r="P217" s="1"/>
      <c r="Q217" s="1"/>
      <c r="U217" s="1"/>
      <c r="AA217" s="1"/>
    </row>
    <row r="218" ht="15.75" customHeight="1">
      <c r="A218" s="1"/>
      <c r="B218" s="1"/>
      <c r="C218" s="1"/>
      <c r="D218" s="1"/>
      <c r="G218" s="113"/>
      <c r="H218" s="1"/>
      <c r="I218" s="1"/>
      <c r="J218" s="136"/>
      <c r="M218" s="1"/>
      <c r="P218" s="1"/>
      <c r="Q218" s="1"/>
      <c r="U218" s="1"/>
      <c r="AA218" s="1"/>
    </row>
    <row r="219" ht="15.75" customHeight="1">
      <c r="A219" s="1"/>
      <c r="B219" s="1"/>
      <c r="C219" s="1"/>
      <c r="D219" s="1"/>
      <c r="G219" s="113"/>
      <c r="H219" s="1"/>
      <c r="I219" s="1"/>
      <c r="J219" s="136"/>
      <c r="M219" s="1"/>
      <c r="P219" s="1"/>
      <c r="Q219" s="1"/>
      <c r="U219" s="1"/>
      <c r="AA219" s="1"/>
    </row>
    <row r="220" ht="15.75" customHeight="1">
      <c r="A220" s="1"/>
      <c r="B220" s="1"/>
      <c r="C220" s="1"/>
      <c r="D220" s="1"/>
      <c r="G220" s="113"/>
      <c r="H220" s="1"/>
      <c r="I220" s="1"/>
      <c r="J220" s="136"/>
      <c r="M220" s="1"/>
      <c r="P220" s="1"/>
      <c r="Q220" s="1"/>
      <c r="U220" s="1"/>
      <c r="AA220" s="1"/>
    </row>
    <row r="221" ht="15.75" customHeight="1">
      <c r="A221" s="1"/>
      <c r="B221" s="1"/>
      <c r="C221" s="1"/>
      <c r="D221" s="1"/>
      <c r="G221" s="113"/>
      <c r="H221" s="1"/>
      <c r="I221" s="1"/>
      <c r="J221" s="136"/>
      <c r="M221" s="1"/>
      <c r="P221" s="1"/>
      <c r="Q221" s="1"/>
      <c r="U221" s="1"/>
      <c r="AA221" s="1"/>
    </row>
    <row r="222" ht="15.75" customHeight="1">
      <c r="A222" s="1"/>
      <c r="B222" s="1"/>
      <c r="C222" s="1"/>
      <c r="D222" s="1"/>
      <c r="G222" s="113"/>
      <c r="H222" s="1"/>
      <c r="I222" s="1"/>
      <c r="J222" s="136"/>
      <c r="M222" s="1"/>
      <c r="P222" s="1"/>
      <c r="Q222" s="1"/>
      <c r="U222" s="1"/>
      <c r="AA222" s="1"/>
    </row>
    <row r="223" ht="15.75" customHeight="1">
      <c r="A223" s="1"/>
      <c r="B223" s="1"/>
      <c r="C223" s="1"/>
      <c r="D223" s="1"/>
      <c r="G223" s="113"/>
      <c r="H223" s="1"/>
      <c r="I223" s="1"/>
      <c r="J223" s="136"/>
      <c r="M223" s="1"/>
      <c r="P223" s="1"/>
      <c r="Q223" s="1"/>
      <c r="U223" s="1"/>
      <c r="AA223" s="1"/>
    </row>
    <row r="224" ht="15.75" customHeight="1">
      <c r="A224" s="1"/>
      <c r="B224" s="1"/>
      <c r="C224" s="1"/>
      <c r="D224" s="1"/>
      <c r="G224" s="113"/>
      <c r="H224" s="1"/>
      <c r="I224" s="1"/>
      <c r="J224" s="136"/>
      <c r="M224" s="1"/>
      <c r="P224" s="1"/>
      <c r="Q224" s="1"/>
      <c r="U224" s="1"/>
      <c r="AA224" s="1"/>
    </row>
    <row r="225" ht="15.75" customHeight="1">
      <c r="A225" s="1"/>
      <c r="B225" s="1"/>
      <c r="C225" s="1"/>
      <c r="D225" s="1"/>
      <c r="G225" s="113"/>
      <c r="H225" s="1"/>
      <c r="I225" s="1"/>
      <c r="J225" s="136"/>
      <c r="M225" s="1"/>
      <c r="P225" s="1"/>
      <c r="Q225" s="1"/>
      <c r="U225" s="1"/>
      <c r="AA225" s="1"/>
    </row>
    <row r="226" ht="15.75" customHeight="1">
      <c r="A226" s="1"/>
      <c r="B226" s="1"/>
      <c r="C226" s="1"/>
      <c r="D226" s="1"/>
      <c r="G226" s="113"/>
      <c r="H226" s="1"/>
      <c r="I226" s="1"/>
      <c r="J226" s="136"/>
      <c r="M226" s="1"/>
      <c r="P226" s="1"/>
      <c r="Q226" s="1"/>
      <c r="U226" s="1"/>
      <c r="AA226" s="1"/>
    </row>
    <row r="227" ht="15.75" customHeight="1">
      <c r="A227" s="1"/>
      <c r="B227" s="1"/>
      <c r="C227" s="1"/>
      <c r="D227" s="1"/>
      <c r="G227" s="113"/>
      <c r="H227" s="1"/>
      <c r="I227" s="1"/>
      <c r="J227" s="136"/>
      <c r="M227" s="1"/>
      <c r="P227" s="1"/>
      <c r="Q227" s="1"/>
      <c r="U227" s="1"/>
      <c r="AA227" s="1"/>
    </row>
    <row r="228" ht="15.75" customHeight="1">
      <c r="A228" s="1"/>
      <c r="B228" s="1"/>
      <c r="C228" s="1"/>
      <c r="D228" s="1"/>
      <c r="G228" s="113"/>
      <c r="H228" s="1"/>
      <c r="I228" s="1"/>
      <c r="J228" s="136"/>
      <c r="M228" s="1"/>
      <c r="P228" s="1"/>
      <c r="Q228" s="1"/>
      <c r="U228" s="1"/>
      <c r="AA228" s="1"/>
    </row>
    <row r="229" ht="15.75" customHeight="1">
      <c r="A229" s="1"/>
      <c r="B229" s="1"/>
      <c r="C229" s="1"/>
      <c r="D229" s="1"/>
      <c r="G229" s="113"/>
      <c r="H229" s="1"/>
      <c r="I229" s="1"/>
      <c r="J229" s="136"/>
      <c r="M229" s="1"/>
      <c r="P229" s="1"/>
      <c r="Q229" s="1"/>
      <c r="U229" s="1"/>
      <c r="AA229" s="1"/>
    </row>
    <row r="230" ht="15.75" customHeight="1">
      <c r="A230" s="1"/>
      <c r="B230" s="1"/>
      <c r="C230" s="1"/>
      <c r="D230" s="1"/>
      <c r="G230" s="113"/>
      <c r="H230" s="1"/>
      <c r="I230" s="1"/>
      <c r="J230" s="136"/>
      <c r="M230" s="1"/>
      <c r="P230" s="1"/>
      <c r="Q230" s="1"/>
      <c r="U230" s="1"/>
      <c r="AA230" s="1"/>
    </row>
    <row r="231" ht="15.75" customHeight="1">
      <c r="A231" s="1"/>
      <c r="B231" s="1"/>
      <c r="C231" s="1"/>
      <c r="D231" s="1"/>
      <c r="G231" s="113"/>
      <c r="H231" s="1"/>
      <c r="I231" s="1"/>
      <c r="J231" s="136"/>
      <c r="M231" s="1"/>
      <c r="P231" s="1"/>
      <c r="Q231" s="1"/>
      <c r="U231" s="1"/>
      <c r="AA231" s="1"/>
    </row>
    <row r="232" ht="15.75" customHeight="1">
      <c r="A232" s="1"/>
      <c r="B232" s="1"/>
      <c r="C232" s="1"/>
      <c r="D232" s="1"/>
      <c r="G232" s="113"/>
      <c r="H232" s="1"/>
      <c r="I232" s="1"/>
      <c r="J232" s="136"/>
      <c r="M232" s="1"/>
      <c r="P232" s="1"/>
      <c r="Q232" s="1"/>
      <c r="U232" s="1"/>
      <c r="AA232" s="1"/>
    </row>
    <row r="233" ht="15.75" customHeight="1">
      <c r="A233" s="1"/>
      <c r="B233" s="1"/>
      <c r="C233" s="1"/>
      <c r="D233" s="1"/>
      <c r="G233" s="113"/>
      <c r="H233" s="1"/>
      <c r="I233" s="1"/>
      <c r="J233" s="136"/>
      <c r="M233" s="1"/>
      <c r="P233" s="1"/>
      <c r="Q233" s="1"/>
      <c r="U233" s="1"/>
      <c r="AA233" s="1"/>
    </row>
    <row r="234" ht="15.75" customHeight="1">
      <c r="A234" s="1"/>
      <c r="B234" s="1"/>
      <c r="C234" s="1"/>
      <c r="D234" s="1"/>
      <c r="G234" s="113"/>
      <c r="H234" s="1"/>
      <c r="I234" s="1"/>
      <c r="J234" s="136"/>
      <c r="M234" s="1"/>
      <c r="P234" s="1"/>
      <c r="Q234" s="1"/>
      <c r="U234" s="1"/>
      <c r="AA234" s="1"/>
    </row>
    <row r="235" ht="15.75" customHeight="1">
      <c r="A235" s="1"/>
      <c r="B235" s="1"/>
      <c r="C235" s="1"/>
      <c r="D235" s="1"/>
      <c r="G235" s="113"/>
      <c r="H235" s="1"/>
      <c r="I235" s="1"/>
      <c r="J235" s="136"/>
      <c r="M235" s="1"/>
      <c r="P235" s="1"/>
      <c r="Q235" s="1"/>
      <c r="U235" s="1"/>
      <c r="AA235" s="1"/>
    </row>
    <row r="236" ht="15.75" customHeight="1">
      <c r="A236" s="1"/>
      <c r="B236" s="1"/>
      <c r="C236" s="1"/>
      <c r="D236" s="1"/>
      <c r="G236" s="113"/>
      <c r="H236" s="1"/>
      <c r="I236" s="1"/>
      <c r="J236" s="136"/>
      <c r="M236" s="1"/>
      <c r="P236" s="1"/>
      <c r="Q236" s="1"/>
      <c r="U236" s="1"/>
      <c r="AA236" s="1"/>
    </row>
    <row r="237" ht="15.75" customHeight="1">
      <c r="A237" s="1"/>
      <c r="B237" s="1"/>
      <c r="C237" s="1"/>
      <c r="D237" s="1"/>
      <c r="G237" s="113"/>
      <c r="H237" s="1"/>
      <c r="I237" s="1"/>
      <c r="J237" s="136"/>
      <c r="M237" s="1"/>
      <c r="P237" s="1"/>
      <c r="Q237" s="1"/>
      <c r="U237" s="1"/>
      <c r="AA237" s="1"/>
    </row>
    <row r="238" ht="15.75" customHeight="1">
      <c r="A238" s="1"/>
      <c r="B238" s="1"/>
      <c r="C238" s="1"/>
      <c r="D238" s="1"/>
      <c r="G238" s="113"/>
      <c r="H238" s="1"/>
      <c r="I238" s="1"/>
      <c r="J238" s="136"/>
      <c r="M238" s="1"/>
      <c r="P238" s="1"/>
      <c r="Q238" s="1"/>
      <c r="U238" s="1"/>
      <c r="AA238" s="1"/>
    </row>
    <row r="239" ht="15.75" customHeight="1">
      <c r="A239" s="1"/>
      <c r="B239" s="1"/>
      <c r="C239" s="1"/>
      <c r="D239" s="1"/>
      <c r="G239" s="113"/>
      <c r="H239" s="1"/>
      <c r="I239" s="1"/>
      <c r="J239" s="136"/>
      <c r="M239" s="1"/>
      <c r="P239" s="1"/>
      <c r="Q239" s="1"/>
      <c r="U239" s="1"/>
      <c r="AA239" s="1"/>
    </row>
    <row r="240" ht="15.75" customHeight="1">
      <c r="A240" s="1"/>
      <c r="B240" s="1"/>
      <c r="C240" s="1"/>
      <c r="D240" s="1"/>
      <c r="G240" s="113"/>
      <c r="H240" s="1"/>
      <c r="I240" s="1"/>
      <c r="J240" s="136"/>
      <c r="M240" s="1"/>
      <c r="P240" s="1"/>
      <c r="Q240" s="1"/>
      <c r="U240" s="1"/>
      <c r="AA240" s="1"/>
    </row>
    <row r="241" ht="15.75" customHeight="1">
      <c r="A241" s="1"/>
      <c r="B241" s="1"/>
      <c r="C241" s="1"/>
      <c r="D241" s="1"/>
      <c r="G241" s="113"/>
      <c r="H241" s="1"/>
      <c r="I241" s="1"/>
      <c r="J241" s="136"/>
      <c r="M241" s="1"/>
      <c r="P241" s="1"/>
      <c r="Q241" s="1"/>
      <c r="U241" s="1"/>
      <c r="AA241" s="1"/>
    </row>
    <row r="242" ht="15.75" customHeight="1">
      <c r="A242" s="1"/>
      <c r="B242" s="1"/>
      <c r="C242" s="1"/>
      <c r="D242" s="1"/>
      <c r="G242" s="113"/>
      <c r="H242" s="1"/>
      <c r="I242" s="1"/>
      <c r="J242" s="136"/>
      <c r="M242" s="1"/>
      <c r="P242" s="1"/>
      <c r="Q242" s="1"/>
      <c r="U242" s="1"/>
      <c r="AA242" s="1"/>
    </row>
    <row r="243" ht="15.75" customHeight="1">
      <c r="A243" s="1"/>
      <c r="B243" s="1"/>
      <c r="C243" s="1"/>
      <c r="D243" s="1"/>
      <c r="G243" s="113"/>
      <c r="H243" s="1"/>
      <c r="I243" s="1"/>
      <c r="J243" s="136"/>
      <c r="M243" s="1"/>
      <c r="P243" s="1"/>
      <c r="Q243" s="1"/>
      <c r="U243" s="1"/>
      <c r="AA243" s="1"/>
    </row>
    <row r="244" ht="15.75" customHeight="1">
      <c r="A244" s="1"/>
      <c r="B244" s="1"/>
      <c r="C244" s="1"/>
      <c r="D244" s="1"/>
      <c r="G244" s="113"/>
      <c r="H244" s="1"/>
      <c r="I244" s="1"/>
      <c r="J244" s="136"/>
      <c r="M244" s="1"/>
      <c r="P244" s="1"/>
      <c r="Q244" s="1"/>
      <c r="U244" s="1"/>
      <c r="AA244" s="1"/>
    </row>
    <row r="245" ht="15.75" customHeight="1">
      <c r="A245" s="1"/>
      <c r="B245" s="1"/>
      <c r="C245" s="1"/>
      <c r="D245" s="1"/>
      <c r="G245" s="113"/>
      <c r="H245" s="1"/>
      <c r="I245" s="1"/>
      <c r="J245" s="136"/>
      <c r="M245" s="1"/>
      <c r="P245" s="1"/>
      <c r="Q245" s="1"/>
      <c r="U245" s="1"/>
      <c r="AA245" s="1"/>
    </row>
    <row r="246" ht="15.75" customHeight="1">
      <c r="A246" s="1"/>
      <c r="B246" s="1"/>
      <c r="C246" s="1"/>
      <c r="D246" s="1"/>
      <c r="G246" s="113"/>
      <c r="H246" s="1"/>
      <c r="I246" s="1"/>
      <c r="J246" s="136"/>
      <c r="M246" s="1"/>
      <c r="P246" s="1"/>
      <c r="Q246" s="1"/>
      <c r="U246" s="1"/>
      <c r="AA246" s="1"/>
    </row>
    <row r="247" ht="15.75" customHeight="1">
      <c r="A247" s="1"/>
      <c r="B247" s="1"/>
      <c r="C247" s="1"/>
      <c r="D247" s="1"/>
      <c r="G247" s="113"/>
      <c r="H247" s="1"/>
      <c r="I247" s="1"/>
      <c r="J247" s="136"/>
      <c r="M247" s="1"/>
      <c r="P247" s="1"/>
      <c r="Q247" s="1"/>
      <c r="U247" s="1"/>
      <c r="AA247" s="1"/>
    </row>
    <row r="248" ht="15.75" customHeight="1">
      <c r="A248" s="1"/>
      <c r="B248" s="1"/>
      <c r="C248" s="1"/>
      <c r="D248" s="1"/>
      <c r="G248" s="113"/>
      <c r="H248" s="1"/>
      <c r="I248" s="1"/>
      <c r="J248" s="136"/>
      <c r="M248" s="1"/>
      <c r="P248" s="1"/>
      <c r="Q248" s="1"/>
      <c r="U248" s="1"/>
      <c r="AA248" s="1"/>
    </row>
    <row r="249" ht="15.75" customHeight="1">
      <c r="A249" s="1"/>
      <c r="B249" s="1"/>
      <c r="C249" s="1"/>
      <c r="D249" s="1"/>
      <c r="G249" s="113"/>
      <c r="H249" s="1"/>
      <c r="I249" s="1"/>
      <c r="J249" s="136"/>
      <c r="M249" s="1"/>
      <c r="P249" s="1"/>
      <c r="Q249" s="1"/>
      <c r="U249" s="1"/>
      <c r="AA249" s="1"/>
    </row>
    <row r="250" ht="15.75" customHeight="1">
      <c r="A250" s="1"/>
      <c r="B250" s="1"/>
      <c r="C250" s="1"/>
      <c r="D250" s="1"/>
      <c r="G250" s="113"/>
      <c r="H250" s="1"/>
      <c r="I250" s="1"/>
      <c r="J250" s="136"/>
      <c r="M250" s="1"/>
      <c r="P250" s="1"/>
      <c r="Q250" s="1"/>
      <c r="U250" s="1"/>
      <c r="AA250" s="1"/>
    </row>
    <row r="251" ht="15.75" customHeight="1">
      <c r="A251" s="1"/>
      <c r="B251" s="1"/>
      <c r="C251" s="1"/>
      <c r="D251" s="1"/>
      <c r="G251" s="113"/>
      <c r="H251" s="1"/>
      <c r="I251" s="1"/>
      <c r="J251" s="136"/>
      <c r="M251" s="1"/>
      <c r="P251" s="1"/>
      <c r="Q251" s="1"/>
      <c r="U251" s="1"/>
      <c r="AA251" s="1"/>
    </row>
    <row r="252" ht="15.75" customHeight="1">
      <c r="A252" s="1"/>
      <c r="B252" s="1"/>
      <c r="C252" s="1"/>
      <c r="D252" s="1"/>
      <c r="G252" s="113"/>
      <c r="H252" s="1"/>
      <c r="I252" s="1"/>
      <c r="J252" s="136"/>
      <c r="M252" s="1"/>
      <c r="P252" s="1"/>
      <c r="Q252" s="1"/>
      <c r="U252" s="1"/>
      <c r="AA252" s="1"/>
    </row>
    <row r="253" ht="15.75" customHeight="1">
      <c r="A253" s="1"/>
      <c r="B253" s="1"/>
      <c r="C253" s="1"/>
      <c r="D253" s="1"/>
      <c r="G253" s="113"/>
      <c r="H253" s="1"/>
      <c r="I253" s="1"/>
      <c r="J253" s="136"/>
      <c r="M253" s="1"/>
      <c r="P253" s="1"/>
      <c r="Q253" s="1"/>
      <c r="U253" s="1"/>
      <c r="AA253" s="1"/>
    </row>
    <row r="254" ht="15.75" customHeight="1">
      <c r="A254" s="1"/>
      <c r="B254" s="1"/>
      <c r="C254" s="1"/>
      <c r="D254" s="1"/>
      <c r="G254" s="113"/>
      <c r="H254" s="1"/>
      <c r="I254" s="1"/>
      <c r="J254" s="136"/>
      <c r="M254" s="1"/>
      <c r="P254" s="1"/>
      <c r="Q254" s="1"/>
      <c r="U254" s="1"/>
      <c r="AA254" s="1"/>
    </row>
    <row r="255" ht="15.75" customHeight="1">
      <c r="A255" s="1"/>
      <c r="B255" s="1"/>
      <c r="C255" s="1"/>
      <c r="D255" s="1"/>
      <c r="G255" s="113"/>
      <c r="H255" s="1"/>
      <c r="I255" s="1"/>
      <c r="J255" s="136"/>
      <c r="M255" s="1"/>
      <c r="P255" s="1"/>
      <c r="Q255" s="1"/>
      <c r="U255" s="1"/>
      <c r="AA255" s="1"/>
    </row>
    <row r="256" ht="15.75" customHeight="1">
      <c r="A256" s="1"/>
      <c r="B256" s="1"/>
      <c r="C256" s="1"/>
      <c r="D256" s="1"/>
      <c r="G256" s="113"/>
      <c r="H256" s="1"/>
      <c r="I256" s="1"/>
      <c r="J256" s="136"/>
      <c r="M256" s="1"/>
      <c r="P256" s="1"/>
      <c r="Q256" s="1"/>
      <c r="U256" s="1"/>
      <c r="AA256" s="1"/>
    </row>
    <row r="257" ht="15.75" customHeight="1">
      <c r="A257" s="1"/>
      <c r="B257" s="1"/>
      <c r="C257" s="1"/>
      <c r="D257" s="1"/>
      <c r="G257" s="113"/>
      <c r="H257" s="1"/>
      <c r="I257" s="1"/>
      <c r="J257" s="136"/>
      <c r="M257" s="1"/>
      <c r="P257" s="1"/>
      <c r="Q257" s="1"/>
      <c r="U257" s="1"/>
      <c r="AA257" s="1"/>
    </row>
    <row r="258" ht="15.75" customHeight="1">
      <c r="A258" s="1"/>
      <c r="B258" s="1"/>
      <c r="C258" s="1"/>
      <c r="D258" s="1"/>
      <c r="G258" s="113"/>
      <c r="H258" s="1"/>
      <c r="I258" s="1"/>
      <c r="J258" s="136"/>
      <c r="M258" s="1"/>
      <c r="P258" s="1"/>
      <c r="Q258" s="1"/>
      <c r="U258" s="1"/>
      <c r="AA258" s="1"/>
    </row>
    <row r="259" ht="15.75" customHeight="1">
      <c r="A259" s="1"/>
      <c r="B259" s="1"/>
      <c r="C259" s="1"/>
      <c r="D259" s="1"/>
      <c r="G259" s="113"/>
      <c r="H259" s="1"/>
      <c r="I259" s="1"/>
      <c r="J259" s="136"/>
      <c r="M259" s="1"/>
      <c r="P259" s="1"/>
      <c r="Q259" s="1"/>
      <c r="U259" s="1"/>
      <c r="AA259" s="1"/>
    </row>
    <row r="260" ht="15.75" customHeight="1">
      <c r="A260" s="1"/>
      <c r="B260" s="1"/>
      <c r="C260" s="1"/>
      <c r="D260" s="1"/>
      <c r="G260" s="113"/>
      <c r="H260" s="1"/>
      <c r="I260" s="1"/>
      <c r="J260" s="136"/>
      <c r="M260" s="1"/>
      <c r="P260" s="1"/>
      <c r="Q260" s="1"/>
      <c r="U260" s="1"/>
      <c r="AA260" s="1"/>
    </row>
    <row r="261" ht="15.75" customHeight="1">
      <c r="A261" s="1"/>
      <c r="B261" s="1"/>
      <c r="C261" s="1"/>
      <c r="D261" s="1"/>
      <c r="G261" s="113"/>
      <c r="H261" s="1"/>
      <c r="I261" s="1"/>
      <c r="J261" s="136"/>
      <c r="M261" s="1"/>
      <c r="P261" s="1"/>
      <c r="Q261" s="1"/>
      <c r="U261" s="1"/>
      <c r="AA261" s="1"/>
    </row>
    <row r="262" ht="15.75" customHeight="1">
      <c r="A262" s="1"/>
      <c r="B262" s="1"/>
      <c r="C262" s="1"/>
      <c r="D262" s="1"/>
      <c r="G262" s="113"/>
      <c r="H262" s="1"/>
      <c r="I262" s="1"/>
      <c r="J262" s="136"/>
      <c r="M262" s="1"/>
      <c r="P262" s="1"/>
      <c r="Q262" s="1"/>
      <c r="U262" s="1"/>
      <c r="AA262" s="1"/>
    </row>
    <row r="263" ht="15.75" customHeight="1">
      <c r="A263" s="1"/>
      <c r="B263" s="1"/>
      <c r="C263" s="1"/>
      <c r="D263" s="1"/>
      <c r="G263" s="113"/>
      <c r="H263" s="1"/>
      <c r="I263" s="1"/>
      <c r="J263" s="136"/>
      <c r="M263" s="1"/>
      <c r="P263" s="1"/>
      <c r="Q263" s="1"/>
      <c r="U263" s="1"/>
      <c r="AA263" s="1"/>
    </row>
    <row r="264" ht="15.75" customHeight="1">
      <c r="A264" s="1"/>
      <c r="B264" s="1"/>
      <c r="C264" s="1"/>
      <c r="D264" s="1"/>
      <c r="G264" s="113"/>
      <c r="H264" s="1"/>
      <c r="I264" s="1"/>
      <c r="J264" s="136"/>
      <c r="M264" s="1"/>
      <c r="P264" s="1"/>
      <c r="Q264" s="1"/>
      <c r="U264" s="1"/>
      <c r="AA264" s="1"/>
    </row>
    <row r="265" ht="15.75" customHeight="1">
      <c r="A265" s="1"/>
      <c r="B265" s="1"/>
      <c r="C265" s="1"/>
      <c r="D265" s="1"/>
      <c r="G265" s="113"/>
      <c r="H265" s="1"/>
      <c r="I265" s="1"/>
      <c r="J265" s="136"/>
      <c r="M265" s="1"/>
      <c r="P265" s="1"/>
      <c r="Q265" s="1"/>
      <c r="U265" s="1"/>
      <c r="AA265" s="1"/>
    </row>
    <row r="266" ht="15.75" customHeight="1">
      <c r="A266" s="1"/>
      <c r="B266" s="1"/>
      <c r="C266" s="1"/>
      <c r="D266" s="1"/>
      <c r="G266" s="113"/>
      <c r="H266" s="1"/>
      <c r="I266" s="1"/>
      <c r="J266" s="136"/>
      <c r="M266" s="1"/>
      <c r="P266" s="1"/>
      <c r="Q266" s="1"/>
      <c r="U266" s="1"/>
      <c r="AA266" s="1"/>
    </row>
    <row r="267" ht="15.75" customHeight="1">
      <c r="A267" s="1"/>
      <c r="B267" s="1"/>
      <c r="C267" s="1"/>
      <c r="D267" s="1"/>
      <c r="G267" s="113"/>
      <c r="H267" s="1"/>
      <c r="I267" s="1"/>
      <c r="J267" s="136"/>
      <c r="M267" s="1"/>
      <c r="P267" s="1"/>
      <c r="Q267" s="1"/>
      <c r="U267" s="1"/>
      <c r="AA267" s="1"/>
    </row>
    <row r="268" ht="15.75" customHeight="1">
      <c r="A268" s="1"/>
      <c r="B268" s="1"/>
      <c r="C268" s="1"/>
      <c r="D268" s="1"/>
      <c r="G268" s="113"/>
      <c r="H268" s="1"/>
      <c r="I268" s="1"/>
      <c r="J268" s="136"/>
      <c r="M268" s="1"/>
      <c r="P268" s="1"/>
      <c r="Q268" s="1"/>
      <c r="U268" s="1"/>
      <c r="AA268" s="1"/>
    </row>
    <row r="269" ht="15.75" customHeight="1">
      <c r="A269" s="1"/>
      <c r="B269" s="1"/>
      <c r="C269" s="1"/>
      <c r="D269" s="1"/>
      <c r="G269" s="113"/>
      <c r="H269" s="1"/>
      <c r="I269" s="1"/>
      <c r="J269" s="136"/>
      <c r="M269" s="1"/>
      <c r="P269" s="1"/>
      <c r="Q269" s="1"/>
      <c r="U269" s="1"/>
      <c r="AA269" s="1"/>
    </row>
    <row r="270" ht="15.75" customHeight="1">
      <c r="A270" s="1"/>
      <c r="B270" s="1"/>
      <c r="C270" s="1"/>
      <c r="D270" s="1"/>
      <c r="G270" s="113"/>
      <c r="H270" s="1"/>
      <c r="I270" s="1"/>
      <c r="J270" s="136"/>
      <c r="M270" s="1"/>
      <c r="P270" s="1"/>
      <c r="Q270" s="1"/>
      <c r="U270" s="1"/>
      <c r="AA270" s="1"/>
    </row>
    <row r="271" ht="15.75" customHeight="1">
      <c r="A271" s="1"/>
      <c r="B271" s="1"/>
      <c r="C271" s="1"/>
      <c r="D271" s="1"/>
      <c r="G271" s="113"/>
      <c r="H271" s="1"/>
      <c r="I271" s="1"/>
      <c r="J271" s="136"/>
      <c r="M271" s="1"/>
      <c r="P271" s="1"/>
      <c r="Q271" s="1"/>
      <c r="U271" s="1"/>
      <c r="AA271" s="1"/>
    </row>
    <row r="272" ht="15.75" customHeight="1">
      <c r="A272" s="1"/>
      <c r="B272" s="1"/>
      <c r="C272" s="1"/>
      <c r="D272" s="1"/>
      <c r="G272" s="113"/>
      <c r="H272" s="1"/>
      <c r="I272" s="1"/>
      <c r="J272" s="136"/>
      <c r="M272" s="1"/>
      <c r="P272" s="1"/>
      <c r="Q272" s="1"/>
      <c r="U272" s="1"/>
      <c r="AA272" s="1"/>
    </row>
    <row r="273" ht="15.75" customHeight="1">
      <c r="A273" s="1"/>
      <c r="B273" s="1"/>
      <c r="C273" s="1"/>
      <c r="D273" s="1"/>
      <c r="G273" s="113"/>
      <c r="H273" s="1"/>
      <c r="I273" s="1"/>
      <c r="J273" s="136"/>
      <c r="M273" s="1"/>
      <c r="P273" s="1"/>
      <c r="Q273" s="1"/>
      <c r="U273" s="1"/>
      <c r="AA273" s="1"/>
    </row>
    <row r="274" ht="15.75" customHeight="1">
      <c r="A274" s="1"/>
      <c r="B274" s="1"/>
      <c r="C274" s="1"/>
      <c r="D274" s="1"/>
      <c r="G274" s="113"/>
      <c r="H274" s="1"/>
      <c r="I274" s="1"/>
      <c r="J274" s="136"/>
      <c r="M274" s="1"/>
      <c r="P274" s="1"/>
      <c r="Q274" s="1"/>
      <c r="U274" s="1"/>
      <c r="AA274" s="1"/>
    </row>
    <row r="275" ht="15.75" customHeight="1">
      <c r="A275" s="1"/>
      <c r="B275" s="1"/>
      <c r="C275" s="1"/>
      <c r="D275" s="1"/>
      <c r="G275" s="113"/>
      <c r="H275" s="1"/>
      <c r="I275" s="1"/>
      <c r="J275" s="136"/>
      <c r="M275" s="1"/>
      <c r="P275" s="1"/>
      <c r="Q275" s="1"/>
      <c r="U275" s="1"/>
      <c r="AA275" s="1"/>
    </row>
    <row r="276" ht="15.75" customHeight="1">
      <c r="A276" s="1"/>
      <c r="B276" s="1"/>
      <c r="C276" s="1"/>
      <c r="D276" s="1"/>
      <c r="G276" s="113"/>
      <c r="H276" s="1"/>
      <c r="I276" s="1"/>
      <c r="J276" s="136"/>
      <c r="M276" s="1"/>
      <c r="P276" s="1"/>
      <c r="Q276" s="1"/>
      <c r="U276" s="1"/>
      <c r="AA276" s="1"/>
    </row>
    <row r="277" ht="15.75" customHeight="1">
      <c r="A277" s="1"/>
      <c r="B277" s="1"/>
      <c r="C277" s="1"/>
      <c r="D277" s="1"/>
      <c r="G277" s="113"/>
      <c r="H277" s="1"/>
      <c r="I277" s="1"/>
      <c r="J277" s="136"/>
      <c r="M277" s="1"/>
      <c r="P277" s="1"/>
      <c r="Q277" s="1"/>
      <c r="U277" s="1"/>
      <c r="AA277" s="1"/>
    </row>
    <row r="278" ht="15.75" customHeight="1">
      <c r="A278" s="1"/>
      <c r="B278" s="1"/>
      <c r="C278" s="1"/>
      <c r="D278" s="1"/>
      <c r="G278" s="113"/>
      <c r="H278" s="1"/>
      <c r="I278" s="1"/>
      <c r="J278" s="136"/>
      <c r="M278" s="1"/>
      <c r="P278" s="1"/>
      <c r="Q278" s="1"/>
      <c r="U278" s="1"/>
      <c r="AA278" s="1"/>
    </row>
    <row r="279" ht="15.75" customHeight="1">
      <c r="A279" s="1"/>
      <c r="B279" s="1"/>
      <c r="C279" s="1"/>
      <c r="D279" s="1"/>
      <c r="G279" s="113"/>
      <c r="H279" s="1"/>
      <c r="I279" s="1"/>
      <c r="J279" s="136"/>
      <c r="M279" s="1"/>
      <c r="P279" s="1"/>
      <c r="Q279" s="1"/>
      <c r="U279" s="1"/>
      <c r="AA279" s="1"/>
    </row>
    <row r="280" ht="15.75" customHeight="1">
      <c r="A280" s="1"/>
      <c r="B280" s="1"/>
      <c r="C280" s="1"/>
      <c r="D280" s="1"/>
      <c r="G280" s="113"/>
      <c r="H280" s="1"/>
      <c r="I280" s="1"/>
      <c r="J280" s="136"/>
      <c r="M280" s="1"/>
      <c r="P280" s="1"/>
      <c r="Q280" s="1"/>
      <c r="U280" s="1"/>
      <c r="AA280" s="1"/>
    </row>
    <row r="281" ht="15.75" customHeight="1">
      <c r="A281" s="1"/>
      <c r="B281" s="1"/>
      <c r="C281" s="1"/>
      <c r="D281" s="1"/>
      <c r="G281" s="113"/>
      <c r="H281" s="1"/>
      <c r="I281" s="1"/>
      <c r="J281" s="136"/>
      <c r="M281" s="1"/>
      <c r="P281" s="1"/>
      <c r="Q281" s="1"/>
      <c r="U281" s="1"/>
      <c r="AA281" s="1"/>
    </row>
    <row r="282" ht="15.75" customHeight="1">
      <c r="A282" s="1"/>
      <c r="B282" s="1"/>
      <c r="C282" s="1"/>
      <c r="D282" s="1"/>
      <c r="G282" s="113"/>
      <c r="H282" s="1"/>
      <c r="I282" s="1"/>
      <c r="J282" s="136"/>
      <c r="M282" s="1"/>
      <c r="P282" s="1"/>
      <c r="Q282" s="1"/>
      <c r="U282" s="1"/>
      <c r="AA282" s="1"/>
    </row>
    <row r="283" ht="15.75" customHeight="1">
      <c r="A283" s="1"/>
      <c r="B283" s="1"/>
      <c r="C283" s="1"/>
      <c r="D283" s="1"/>
      <c r="G283" s="113"/>
      <c r="H283" s="1"/>
      <c r="I283" s="1"/>
      <c r="J283" s="136"/>
      <c r="M283" s="1"/>
      <c r="P283" s="1"/>
      <c r="Q283" s="1"/>
      <c r="U283" s="1"/>
      <c r="AA283" s="1"/>
    </row>
    <row r="284" ht="15.75" customHeight="1">
      <c r="A284" s="1"/>
      <c r="B284" s="1"/>
      <c r="C284" s="1"/>
      <c r="D284" s="1"/>
      <c r="G284" s="113"/>
      <c r="H284" s="1"/>
      <c r="I284" s="1"/>
      <c r="J284" s="136"/>
      <c r="M284" s="1"/>
      <c r="P284" s="1"/>
      <c r="Q284" s="1"/>
      <c r="U284" s="1"/>
      <c r="AA284" s="1"/>
    </row>
    <row r="285" ht="15.75" customHeight="1">
      <c r="A285" s="1"/>
      <c r="B285" s="1"/>
      <c r="C285" s="1"/>
      <c r="D285" s="1"/>
      <c r="G285" s="113"/>
      <c r="H285" s="1"/>
      <c r="I285" s="1"/>
      <c r="J285" s="136"/>
      <c r="M285" s="1"/>
      <c r="P285" s="1"/>
      <c r="Q285" s="1"/>
      <c r="U285" s="1"/>
      <c r="AA285" s="1"/>
    </row>
    <row r="286" ht="15.75" customHeight="1">
      <c r="A286" s="1"/>
      <c r="B286" s="1"/>
      <c r="C286" s="1"/>
      <c r="D286" s="1"/>
      <c r="G286" s="113"/>
      <c r="H286" s="1"/>
      <c r="I286" s="1"/>
      <c r="J286" s="136"/>
      <c r="M286" s="1"/>
      <c r="P286" s="1"/>
      <c r="Q286" s="1"/>
      <c r="U286" s="1"/>
      <c r="AA286" s="1"/>
    </row>
    <row r="287" ht="15.75" customHeight="1">
      <c r="A287" s="1"/>
      <c r="B287" s="1"/>
      <c r="C287" s="1"/>
      <c r="D287" s="1"/>
      <c r="G287" s="113"/>
      <c r="H287" s="1"/>
      <c r="I287" s="1"/>
      <c r="J287" s="136"/>
      <c r="M287" s="1"/>
      <c r="P287" s="1"/>
      <c r="Q287" s="1"/>
      <c r="U287" s="1"/>
      <c r="AA287" s="1"/>
    </row>
    <row r="288" ht="15.75" customHeight="1">
      <c r="A288" s="1"/>
      <c r="B288" s="1"/>
      <c r="C288" s="1"/>
      <c r="D288" s="1"/>
      <c r="G288" s="113"/>
      <c r="H288" s="1"/>
      <c r="I288" s="1"/>
      <c r="J288" s="136"/>
      <c r="M288" s="1"/>
      <c r="P288" s="1"/>
      <c r="Q288" s="1"/>
      <c r="U288" s="1"/>
      <c r="AA288" s="1"/>
    </row>
    <row r="289" ht="15.75" customHeight="1">
      <c r="A289" s="1"/>
      <c r="B289" s="1"/>
      <c r="C289" s="1"/>
      <c r="D289" s="1"/>
      <c r="G289" s="113"/>
      <c r="H289" s="1"/>
      <c r="I289" s="1"/>
      <c r="J289" s="136"/>
      <c r="M289" s="1"/>
      <c r="P289" s="1"/>
      <c r="Q289" s="1"/>
      <c r="U289" s="1"/>
      <c r="AA289" s="1"/>
    </row>
    <row r="290" ht="15.75" customHeight="1">
      <c r="A290" s="1"/>
      <c r="B290" s="1"/>
      <c r="C290" s="1"/>
      <c r="D290" s="1"/>
      <c r="G290" s="113"/>
      <c r="H290" s="1"/>
      <c r="I290" s="1"/>
      <c r="J290" s="136"/>
      <c r="M290" s="1"/>
      <c r="P290" s="1"/>
      <c r="Q290" s="1"/>
      <c r="U290" s="1"/>
      <c r="AA290" s="1"/>
    </row>
    <row r="291" ht="15.75" customHeight="1">
      <c r="A291" s="1"/>
      <c r="B291" s="1"/>
      <c r="C291" s="1"/>
      <c r="D291" s="1"/>
      <c r="G291" s="113"/>
      <c r="H291" s="1"/>
      <c r="I291" s="1"/>
      <c r="J291" s="136"/>
      <c r="M291" s="1"/>
      <c r="P291" s="1"/>
      <c r="Q291" s="1"/>
      <c r="U291" s="1"/>
      <c r="AA291" s="1"/>
    </row>
    <row r="292" ht="15.75" customHeight="1">
      <c r="A292" s="1"/>
      <c r="B292" s="1"/>
      <c r="C292" s="1"/>
      <c r="D292" s="1"/>
      <c r="G292" s="113"/>
      <c r="H292" s="1"/>
      <c r="I292" s="1"/>
      <c r="J292" s="136"/>
      <c r="M292" s="1"/>
      <c r="P292" s="1"/>
      <c r="Q292" s="1"/>
      <c r="U292" s="1"/>
      <c r="AA292" s="1"/>
    </row>
    <row r="293" ht="15.75" customHeight="1">
      <c r="A293" s="1"/>
      <c r="B293" s="1"/>
      <c r="C293" s="1"/>
      <c r="D293" s="1"/>
      <c r="G293" s="113"/>
      <c r="H293" s="1"/>
      <c r="I293" s="1"/>
      <c r="J293" s="136"/>
      <c r="M293" s="1"/>
      <c r="P293" s="1"/>
      <c r="Q293" s="1"/>
      <c r="U293" s="1"/>
      <c r="AA293" s="1"/>
    </row>
    <row r="294" ht="15.75" customHeight="1">
      <c r="A294" s="1"/>
      <c r="B294" s="1"/>
      <c r="C294" s="1"/>
      <c r="D294" s="1"/>
      <c r="G294" s="113"/>
      <c r="H294" s="1"/>
      <c r="I294" s="1"/>
      <c r="J294" s="136"/>
      <c r="M294" s="1"/>
      <c r="P294" s="1"/>
      <c r="Q294" s="1"/>
      <c r="U294" s="1"/>
      <c r="AA294" s="1"/>
    </row>
    <row r="295" ht="15.75" customHeight="1">
      <c r="A295" s="1"/>
      <c r="B295" s="1"/>
      <c r="C295" s="1"/>
      <c r="D295" s="1"/>
      <c r="G295" s="113"/>
      <c r="H295" s="1"/>
      <c r="I295" s="1"/>
      <c r="J295" s="136"/>
      <c r="M295" s="1"/>
      <c r="P295" s="1"/>
      <c r="Q295" s="1"/>
      <c r="U295" s="1"/>
      <c r="AA295" s="1"/>
    </row>
    <row r="296" ht="15.75" customHeight="1">
      <c r="A296" s="1"/>
      <c r="B296" s="1"/>
      <c r="C296" s="1"/>
      <c r="D296" s="1"/>
      <c r="G296" s="113"/>
      <c r="H296" s="1"/>
      <c r="I296" s="1"/>
      <c r="J296" s="136"/>
      <c r="M296" s="1"/>
      <c r="P296" s="1"/>
      <c r="Q296" s="1"/>
      <c r="U296" s="1"/>
      <c r="AA296" s="1"/>
    </row>
    <row r="297" ht="15.75" customHeight="1">
      <c r="A297" s="1"/>
      <c r="B297" s="1"/>
      <c r="C297" s="1"/>
      <c r="D297" s="1"/>
      <c r="G297" s="113"/>
      <c r="H297" s="1"/>
      <c r="I297" s="1"/>
      <c r="J297" s="136"/>
      <c r="M297" s="1"/>
      <c r="P297" s="1"/>
      <c r="Q297" s="1"/>
      <c r="U297" s="1"/>
      <c r="AA297" s="1"/>
    </row>
    <row r="298" ht="15.75" customHeight="1">
      <c r="A298" s="1"/>
      <c r="B298" s="1"/>
      <c r="C298" s="1"/>
      <c r="D298" s="1"/>
      <c r="G298" s="113"/>
      <c r="H298" s="1"/>
      <c r="I298" s="1"/>
      <c r="J298" s="136"/>
      <c r="M298" s="1"/>
      <c r="P298" s="1"/>
      <c r="Q298" s="1"/>
      <c r="U298" s="1"/>
      <c r="AA298" s="1"/>
    </row>
    <row r="299" ht="15.75" customHeight="1">
      <c r="A299" s="1"/>
      <c r="B299" s="1"/>
      <c r="C299" s="1"/>
      <c r="D299" s="1"/>
      <c r="G299" s="113"/>
      <c r="H299" s="1"/>
      <c r="I299" s="1"/>
      <c r="J299" s="136"/>
      <c r="M299" s="1"/>
      <c r="P299" s="1"/>
      <c r="Q299" s="1"/>
      <c r="U299" s="1"/>
      <c r="AA299" s="1"/>
    </row>
    <row r="300" ht="15.75" customHeight="1">
      <c r="A300" s="1"/>
      <c r="B300" s="1"/>
      <c r="C300" s="1"/>
      <c r="D300" s="1"/>
      <c r="G300" s="113"/>
      <c r="H300" s="1"/>
      <c r="I300" s="1"/>
      <c r="J300" s="136"/>
      <c r="M300" s="1"/>
      <c r="P300" s="1"/>
      <c r="Q300" s="1"/>
      <c r="U300" s="1"/>
      <c r="AA300" s="1"/>
    </row>
    <row r="301" ht="15.75" customHeight="1">
      <c r="A301" s="1"/>
      <c r="B301" s="1"/>
      <c r="C301" s="1"/>
      <c r="D301" s="1"/>
      <c r="G301" s="113"/>
      <c r="H301" s="1"/>
      <c r="I301" s="1"/>
      <c r="J301" s="136"/>
      <c r="M301" s="1"/>
      <c r="P301" s="1"/>
      <c r="Q301" s="1"/>
      <c r="U301" s="1"/>
      <c r="AA301" s="1"/>
    </row>
    <row r="302" ht="15.75" customHeight="1">
      <c r="A302" s="1"/>
      <c r="B302" s="1"/>
      <c r="C302" s="1"/>
      <c r="D302" s="1"/>
      <c r="G302" s="113"/>
      <c r="H302" s="1"/>
      <c r="I302" s="1"/>
      <c r="J302" s="136"/>
      <c r="M302" s="1"/>
      <c r="P302" s="1"/>
      <c r="Q302" s="1"/>
      <c r="U302" s="1"/>
      <c r="AA302" s="1"/>
    </row>
    <row r="303" ht="15.75" customHeight="1">
      <c r="A303" s="1"/>
      <c r="B303" s="1"/>
      <c r="C303" s="1"/>
      <c r="D303" s="1"/>
      <c r="G303" s="113"/>
      <c r="H303" s="1"/>
      <c r="I303" s="1"/>
      <c r="J303" s="136"/>
      <c r="M303" s="1"/>
      <c r="P303" s="1"/>
      <c r="Q303" s="1"/>
      <c r="U303" s="1"/>
      <c r="AA303" s="1"/>
    </row>
    <row r="304" ht="15.75" customHeight="1">
      <c r="A304" s="1"/>
      <c r="B304" s="1"/>
      <c r="C304" s="1"/>
      <c r="D304" s="1"/>
      <c r="G304" s="113"/>
      <c r="H304" s="1"/>
      <c r="I304" s="1"/>
      <c r="J304" s="136"/>
      <c r="M304" s="1"/>
      <c r="P304" s="1"/>
      <c r="Q304" s="1"/>
      <c r="U304" s="1"/>
      <c r="AA304" s="1"/>
    </row>
    <row r="305" ht="15.75" customHeight="1">
      <c r="A305" s="1"/>
      <c r="B305" s="1"/>
      <c r="C305" s="1"/>
      <c r="D305" s="1"/>
      <c r="G305" s="113"/>
      <c r="H305" s="1"/>
      <c r="I305" s="1"/>
      <c r="J305" s="136"/>
      <c r="M305" s="1"/>
      <c r="P305" s="1"/>
      <c r="Q305" s="1"/>
      <c r="U305" s="1"/>
      <c r="AA305" s="1"/>
    </row>
    <row r="306" ht="15.75" customHeight="1">
      <c r="A306" s="1"/>
      <c r="B306" s="1"/>
      <c r="C306" s="1"/>
      <c r="D306" s="1"/>
      <c r="G306" s="113"/>
      <c r="H306" s="1"/>
      <c r="I306" s="1"/>
      <c r="J306" s="136"/>
      <c r="M306" s="1"/>
      <c r="P306" s="1"/>
      <c r="Q306" s="1"/>
      <c r="U306" s="1"/>
      <c r="AA306" s="1"/>
    </row>
    <row r="307" ht="15.75" customHeight="1">
      <c r="A307" s="1"/>
      <c r="B307" s="1"/>
      <c r="C307" s="1"/>
      <c r="D307" s="1"/>
      <c r="G307" s="113"/>
      <c r="H307" s="1"/>
      <c r="I307" s="1"/>
      <c r="J307" s="136"/>
      <c r="M307" s="1"/>
      <c r="P307" s="1"/>
      <c r="Q307" s="1"/>
      <c r="U307" s="1"/>
      <c r="AA307" s="1"/>
    </row>
    <row r="308" ht="15.75" customHeight="1">
      <c r="A308" s="1"/>
      <c r="B308" s="1"/>
      <c r="C308" s="1"/>
      <c r="D308" s="1"/>
      <c r="G308" s="113"/>
      <c r="H308" s="1"/>
      <c r="I308" s="1"/>
      <c r="J308" s="136"/>
      <c r="M308" s="1"/>
      <c r="P308" s="1"/>
      <c r="Q308" s="1"/>
      <c r="U308" s="1"/>
      <c r="AA308" s="1"/>
    </row>
    <row r="309" ht="15.75" customHeight="1">
      <c r="A309" s="1"/>
      <c r="B309" s="1"/>
      <c r="C309" s="1"/>
      <c r="D309" s="1"/>
      <c r="G309" s="113"/>
      <c r="H309" s="1"/>
      <c r="I309" s="1"/>
      <c r="J309" s="136"/>
      <c r="M309" s="1"/>
      <c r="P309" s="1"/>
      <c r="Q309" s="1"/>
      <c r="U309" s="1"/>
      <c r="AA309" s="1"/>
    </row>
    <row r="310" ht="15.75" customHeight="1">
      <c r="A310" s="1"/>
      <c r="B310" s="1"/>
      <c r="C310" s="1"/>
      <c r="D310" s="1"/>
      <c r="G310" s="113"/>
      <c r="H310" s="1"/>
      <c r="I310" s="1"/>
      <c r="J310" s="136"/>
      <c r="M310" s="1"/>
      <c r="P310" s="1"/>
      <c r="Q310" s="1"/>
      <c r="U310" s="1"/>
      <c r="AA310" s="1"/>
    </row>
    <row r="311" ht="15.75" customHeight="1">
      <c r="A311" s="1"/>
      <c r="B311" s="1"/>
      <c r="C311" s="1"/>
      <c r="D311" s="1"/>
      <c r="G311" s="113"/>
      <c r="H311" s="1"/>
      <c r="I311" s="1"/>
      <c r="J311" s="136"/>
      <c r="M311" s="1"/>
      <c r="P311" s="1"/>
      <c r="Q311" s="1"/>
      <c r="U311" s="1"/>
      <c r="AA311" s="1"/>
    </row>
    <row r="312" ht="15.75" customHeight="1">
      <c r="A312" s="1"/>
      <c r="B312" s="1"/>
      <c r="C312" s="1"/>
      <c r="D312" s="1"/>
      <c r="G312" s="113"/>
      <c r="H312" s="1"/>
      <c r="I312" s="1"/>
      <c r="J312" s="136"/>
      <c r="M312" s="1"/>
      <c r="P312" s="1"/>
      <c r="Q312" s="1"/>
      <c r="U312" s="1"/>
      <c r="AA312" s="1"/>
    </row>
    <row r="313" ht="15.75" customHeight="1">
      <c r="A313" s="1"/>
      <c r="B313" s="1"/>
      <c r="C313" s="1"/>
      <c r="D313" s="1"/>
      <c r="G313" s="113"/>
      <c r="H313" s="1"/>
      <c r="I313" s="1"/>
      <c r="J313" s="136"/>
      <c r="M313" s="1"/>
      <c r="P313" s="1"/>
      <c r="Q313" s="1"/>
      <c r="U313" s="1"/>
      <c r="AA313" s="1"/>
    </row>
    <row r="314" ht="15.75" customHeight="1">
      <c r="A314" s="1"/>
      <c r="B314" s="1"/>
      <c r="C314" s="1"/>
      <c r="D314" s="1"/>
      <c r="G314" s="113"/>
      <c r="H314" s="1"/>
      <c r="I314" s="1"/>
      <c r="J314" s="136"/>
      <c r="M314" s="1"/>
      <c r="P314" s="1"/>
      <c r="Q314" s="1"/>
      <c r="U314" s="1"/>
      <c r="AA314" s="1"/>
    </row>
    <row r="315" ht="15.75" customHeight="1">
      <c r="A315" s="1"/>
      <c r="B315" s="1"/>
      <c r="C315" s="1"/>
      <c r="D315" s="1"/>
      <c r="G315" s="113"/>
      <c r="H315" s="1"/>
      <c r="I315" s="1"/>
      <c r="J315" s="136"/>
      <c r="M315" s="1"/>
      <c r="P315" s="1"/>
      <c r="Q315" s="1"/>
      <c r="U315" s="1"/>
      <c r="AA315" s="1"/>
    </row>
    <row r="316" ht="15.75" customHeight="1">
      <c r="A316" s="1"/>
      <c r="B316" s="1"/>
      <c r="C316" s="1"/>
      <c r="D316" s="1"/>
      <c r="G316" s="113"/>
      <c r="H316" s="1"/>
      <c r="I316" s="1"/>
      <c r="J316" s="136"/>
      <c r="M316" s="1"/>
      <c r="P316" s="1"/>
      <c r="Q316" s="1"/>
      <c r="U316" s="1"/>
      <c r="AA316" s="1"/>
    </row>
    <row r="317" ht="15.75" customHeight="1">
      <c r="A317" s="1"/>
      <c r="B317" s="1"/>
      <c r="C317" s="1"/>
      <c r="D317" s="1"/>
      <c r="G317" s="113"/>
      <c r="H317" s="1"/>
      <c r="I317" s="1"/>
      <c r="J317" s="136"/>
      <c r="M317" s="1"/>
      <c r="P317" s="1"/>
      <c r="Q317" s="1"/>
      <c r="U317" s="1"/>
      <c r="AA317" s="1"/>
    </row>
    <row r="318" ht="15.75" customHeight="1">
      <c r="A318" s="1"/>
      <c r="B318" s="1"/>
      <c r="C318" s="1"/>
      <c r="D318" s="1"/>
      <c r="G318" s="113"/>
      <c r="H318" s="1"/>
      <c r="I318" s="1"/>
      <c r="J318" s="136"/>
      <c r="M318" s="1"/>
      <c r="P318" s="1"/>
      <c r="Q318" s="1"/>
      <c r="U318" s="1"/>
      <c r="AA318" s="1"/>
    </row>
    <row r="319" ht="15.75" customHeight="1">
      <c r="A319" s="1"/>
      <c r="B319" s="1"/>
      <c r="C319" s="1"/>
      <c r="D319" s="1"/>
      <c r="G319" s="113"/>
      <c r="H319" s="1"/>
      <c r="I319" s="1"/>
      <c r="J319" s="136"/>
      <c r="M319" s="1"/>
      <c r="P319" s="1"/>
      <c r="Q319" s="1"/>
      <c r="U319" s="1"/>
      <c r="AA319" s="1"/>
    </row>
    <row r="320" ht="15.75" customHeight="1">
      <c r="A320" s="1"/>
      <c r="B320" s="1"/>
      <c r="C320" s="1"/>
      <c r="D320" s="1"/>
      <c r="G320" s="113"/>
      <c r="H320" s="1"/>
      <c r="I320" s="1"/>
      <c r="J320" s="136"/>
      <c r="M320" s="1"/>
      <c r="P320" s="1"/>
      <c r="Q320" s="1"/>
      <c r="U320" s="1"/>
      <c r="AA320" s="1"/>
    </row>
    <row r="321" ht="15.75" customHeight="1">
      <c r="A321" s="1"/>
      <c r="B321" s="1"/>
      <c r="C321" s="1"/>
      <c r="D321" s="1"/>
      <c r="G321" s="113"/>
      <c r="H321" s="1"/>
      <c r="I321" s="1"/>
      <c r="J321" s="136"/>
      <c r="M321" s="1"/>
      <c r="P321" s="1"/>
      <c r="Q321" s="1"/>
      <c r="U321" s="1"/>
      <c r="AA321" s="1"/>
    </row>
    <row r="322" ht="15.75" customHeight="1">
      <c r="A322" s="1"/>
      <c r="B322" s="1"/>
      <c r="C322" s="1"/>
      <c r="D322" s="1"/>
      <c r="G322" s="113"/>
      <c r="H322" s="1"/>
      <c r="I322" s="1"/>
      <c r="J322" s="136"/>
      <c r="M322" s="1"/>
      <c r="P322" s="1"/>
      <c r="Q322" s="1"/>
      <c r="U322" s="1"/>
      <c r="AA322" s="1"/>
    </row>
    <row r="323" ht="15.75" customHeight="1">
      <c r="A323" s="1"/>
      <c r="B323" s="1"/>
      <c r="C323" s="1"/>
      <c r="D323" s="1"/>
      <c r="G323" s="113"/>
      <c r="H323" s="1"/>
      <c r="I323" s="1"/>
      <c r="J323" s="136"/>
      <c r="M323" s="1"/>
      <c r="P323" s="1"/>
      <c r="Q323" s="1"/>
      <c r="U323" s="1"/>
      <c r="AA323" s="1"/>
    </row>
    <row r="324" ht="15.75" customHeight="1">
      <c r="A324" s="1"/>
      <c r="B324" s="1"/>
      <c r="C324" s="1"/>
      <c r="D324" s="1"/>
      <c r="G324" s="113"/>
      <c r="H324" s="1"/>
      <c r="I324" s="1"/>
      <c r="J324" s="136"/>
      <c r="M324" s="1"/>
      <c r="P324" s="1"/>
      <c r="Q324" s="1"/>
      <c r="U324" s="1"/>
      <c r="AA324" s="1"/>
    </row>
    <row r="325" ht="15.75" customHeight="1">
      <c r="A325" s="1"/>
      <c r="B325" s="1"/>
      <c r="C325" s="1"/>
      <c r="D325" s="1"/>
      <c r="G325" s="113"/>
      <c r="H325" s="1"/>
      <c r="I325" s="1"/>
      <c r="J325" s="136"/>
      <c r="M325" s="1"/>
      <c r="P325" s="1"/>
      <c r="Q325" s="1"/>
      <c r="U325" s="1"/>
      <c r="AA325" s="1"/>
    </row>
    <row r="326" ht="15.75" customHeight="1">
      <c r="A326" s="1"/>
      <c r="B326" s="1"/>
      <c r="C326" s="1"/>
      <c r="D326" s="1"/>
      <c r="G326" s="113"/>
      <c r="H326" s="1"/>
      <c r="I326" s="1"/>
      <c r="J326" s="136"/>
      <c r="M326" s="1"/>
      <c r="P326" s="1"/>
      <c r="Q326" s="1"/>
      <c r="U326" s="1"/>
      <c r="AA326" s="1"/>
    </row>
    <row r="327" ht="15.75" customHeight="1">
      <c r="A327" s="1"/>
      <c r="B327" s="1"/>
      <c r="C327" s="1"/>
      <c r="D327" s="1"/>
      <c r="G327" s="113"/>
      <c r="H327" s="1"/>
      <c r="I327" s="1"/>
      <c r="J327" s="136"/>
      <c r="M327" s="1"/>
      <c r="P327" s="1"/>
      <c r="Q327" s="1"/>
      <c r="U327" s="1"/>
      <c r="AA327" s="1"/>
    </row>
    <row r="328" ht="15.75" customHeight="1">
      <c r="A328" s="1"/>
      <c r="B328" s="1"/>
      <c r="C328" s="1"/>
      <c r="D328" s="1"/>
      <c r="G328" s="113"/>
      <c r="H328" s="1"/>
      <c r="I328" s="1"/>
      <c r="J328" s="136"/>
      <c r="M328" s="1"/>
      <c r="P328" s="1"/>
      <c r="Q328" s="1"/>
      <c r="U328" s="1"/>
      <c r="AA328" s="1"/>
    </row>
    <row r="329" ht="15.75" customHeight="1">
      <c r="A329" s="1"/>
      <c r="B329" s="1"/>
      <c r="C329" s="1"/>
      <c r="D329" s="1"/>
      <c r="G329" s="113"/>
      <c r="H329" s="1"/>
      <c r="I329" s="1"/>
      <c r="J329" s="136"/>
      <c r="M329" s="1"/>
      <c r="P329" s="1"/>
      <c r="Q329" s="1"/>
      <c r="U329" s="1"/>
      <c r="AA329" s="1"/>
    </row>
    <row r="330" ht="15.75" customHeight="1">
      <c r="A330" s="1"/>
      <c r="B330" s="1"/>
      <c r="C330" s="1"/>
      <c r="D330" s="1"/>
      <c r="G330" s="113"/>
      <c r="H330" s="1"/>
      <c r="I330" s="1"/>
      <c r="J330" s="136"/>
      <c r="M330" s="1"/>
      <c r="P330" s="1"/>
      <c r="Q330" s="1"/>
      <c r="U330" s="1"/>
      <c r="AA330" s="1"/>
    </row>
    <row r="331" ht="15.75" customHeight="1">
      <c r="A331" s="1"/>
      <c r="B331" s="1"/>
      <c r="C331" s="1"/>
      <c r="D331" s="1"/>
      <c r="G331" s="113"/>
      <c r="H331" s="1"/>
      <c r="I331" s="1"/>
      <c r="J331" s="136"/>
      <c r="M331" s="1"/>
      <c r="P331" s="1"/>
      <c r="Q331" s="1"/>
      <c r="U331" s="1"/>
      <c r="AA331" s="1"/>
    </row>
    <row r="332" ht="15.75" customHeight="1">
      <c r="A332" s="1"/>
      <c r="B332" s="1"/>
      <c r="C332" s="1"/>
      <c r="D332" s="1"/>
      <c r="G332" s="113"/>
      <c r="H332" s="1"/>
      <c r="I332" s="1"/>
      <c r="J332" s="136"/>
      <c r="M332" s="1"/>
      <c r="P332" s="1"/>
      <c r="Q332" s="1"/>
      <c r="U332" s="1"/>
      <c r="AA332" s="1"/>
    </row>
    <row r="333" ht="15.75" customHeight="1">
      <c r="A333" s="1"/>
      <c r="B333" s="1"/>
      <c r="C333" s="1"/>
      <c r="D333" s="1"/>
      <c r="G333" s="113"/>
      <c r="H333" s="1"/>
      <c r="I333" s="1"/>
      <c r="J333" s="136"/>
      <c r="M333" s="1"/>
      <c r="P333" s="1"/>
      <c r="Q333" s="1"/>
      <c r="U333" s="1"/>
      <c r="AA333" s="1"/>
    </row>
    <row r="334" ht="15.75" customHeight="1">
      <c r="A334" s="1"/>
      <c r="B334" s="1"/>
      <c r="C334" s="1"/>
      <c r="D334" s="1"/>
      <c r="G334" s="113"/>
      <c r="H334" s="1"/>
      <c r="I334" s="1"/>
      <c r="J334" s="136"/>
      <c r="M334" s="1"/>
      <c r="P334" s="1"/>
      <c r="Q334" s="1"/>
      <c r="U334" s="1"/>
      <c r="AA334" s="1"/>
    </row>
    <row r="335" ht="15.75" customHeight="1">
      <c r="A335" s="1"/>
      <c r="B335" s="1"/>
      <c r="C335" s="1"/>
      <c r="D335" s="1"/>
      <c r="G335" s="113"/>
      <c r="H335" s="1"/>
      <c r="I335" s="1"/>
      <c r="J335" s="136"/>
      <c r="M335" s="1"/>
      <c r="P335" s="1"/>
      <c r="Q335" s="1"/>
      <c r="U335" s="1"/>
      <c r="AA335" s="1"/>
    </row>
    <row r="336" ht="15.75" customHeight="1">
      <c r="A336" s="1"/>
      <c r="B336" s="1"/>
      <c r="C336" s="1"/>
      <c r="D336" s="1"/>
      <c r="G336" s="113"/>
      <c r="H336" s="1"/>
      <c r="I336" s="1"/>
      <c r="J336" s="136"/>
      <c r="M336" s="1"/>
      <c r="P336" s="1"/>
      <c r="Q336" s="1"/>
      <c r="U336" s="1"/>
      <c r="AA336" s="1"/>
    </row>
    <row r="337" ht="15.75" customHeight="1">
      <c r="A337" s="1"/>
      <c r="B337" s="1"/>
      <c r="C337" s="1"/>
      <c r="D337" s="1"/>
      <c r="G337" s="113"/>
      <c r="H337" s="1"/>
      <c r="I337" s="1"/>
      <c r="J337" s="136"/>
      <c r="M337" s="1"/>
      <c r="P337" s="1"/>
      <c r="Q337" s="1"/>
      <c r="U337" s="1"/>
      <c r="AA337" s="1"/>
    </row>
    <row r="338" ht="15.75" customHeight="1">
      <c r="A338" s="1"/>
      <c r="B338" s="1"/>
      <c r="C338" s="1"/>
      <c r="D338" s="1"/>
      <c r="G338" s="113"/>
      <c r="H338" s="1"/>
      <c r="I338" s="1"/>
      <c r="J338" s="136"/>
      <c r="M338" s="1"/>
      <c r="P338" s="1"/>
      <c r="Q338" s="1"/>
      <c r="U338" s="1"/>
      <c r="AA338" s="1"/>
    </row>
    <row r="339" ht="15.75" customHeight="1">
      <c r="A339" s="1"/>
      <c r="B339" s="1"/>
      <c r="C339" s="1"/>
      <c r="D339" s="1"/>
      <c r="G339" s="113"/>
      <c r="H339" s="1"/>
      <c r="I339" s="1"/>
      <c r="J339" s="136"/>
      <c r="M339" s="1"/>
      <c r="P339" s="1"/>
      <c r="Q339" s="1"/>
      <c r="U339" s="1"/>
      <c r="AA339" s="1"/>
    </row>
    <row r="340" ht="15.75" customHeight="1">
      <c r="A340" s="1"/>
      <c r="B340" s="1"/>
      <c r="C340" s="1"/>
      <c r="D340" s="1"/>
      <c r="G340" s="113"/>
      <c r="H340" s="1"/>
      <c r="I340" s="1"/>
      <c r="J340" s="136"/>
      <c r="M340" s="1"/>
      <c r="P340" s="1"/>
      <c r="Q340" s="1"/>
      <c r="U340" s="1"/>
      <c r="AA340" s="1"/>
    </row>
    <row r="341" ht="15.75" customHeight="1">
      <c r="A341" s="1"/>
      <c r="B341" s="1"/>
      <c r="C341" s="1"/>
      <c r="D341" s="1"/>
      <c r="G341" s="113"/>
      <c r="H341" s="1"/>
      <c r="I341" s="1"/>
      <c r="J341" s="136"/>
      <c r="M341" s="1"/>
      <c r="P341" s="1"/>
      <c r="Q341" s="1"/>
      <c r="U341" s="1"/>
      <c r="AA341" s="1"/>
    </row>
    <row r="342" ht="15.75" customHeight="1">
      <c r="A342" s="1"/>
      <c r="B342" s="1"/>
      <c r="C342" s="1"/>
      <c r="D342" s="1"/>
      <c r="G342" s="113"/>
      <c r="H342" s="1"/>
      <c r="I342" s="1"/>
      <c r="J342" s="136"/>
      <c r="M342" s="1"/>
      <c r="P342" s="1"/>
      <c r="Q342" s="1"/>
      <c r="U342" s="1"/>
      <c r="AA342" s="1"/>
    </row>
    <row r="343" ht="15.75" customHeight="1">
      <c r="A343" s="1"/>
      <c r="B343" s="1"/>
      <c r="C343" s="1"/>
      <c r="D343" s="1"/>
      <c r="G343" s="113"/>
      <c r="H343" s="1"/>
      <c r="I343" s="1"/>
      <c r="J343" s="136"/>
      <c r="M343" s="1"/>
      <c r="P343" s="1"/>
      <c r="Q343" s="1"/>
      <c r="U343" s="1"/>
      <c r="AA343" s="1"/>
    </row>
    <row r="344" ht="15.75" customHeight="1">
      <c r="A344" s="1"/>
      <c r="B344" s="1"/>
      <c r="C344" s="1"/>
      <c r="D344" s="1"/>
      <c r="G344" s="113"/>
      <c r="H344" s="1"/>
      <c r="I344" s="1"/>
      <c r="J344" s="136"/>
      <c r="M344" s="1"/>
      <c r="P344" s="1"/>
      <c r="Q344" s="1"/>
      <c r="U344" s="1"/>
      <c r="AA344" s="1"/>
    </row>
    <row r="345" ht="15.75" customHeight="1">
      <c r="A345" s="1"/>
      <c r="B345" s="1"/>
      <c r="C345" s="1"/>
      <c r="D345" s="1"/>
      <c r="G345" s="113"/>
      <c r="H345" s="1"/>
      <c r="I345" s="1"/>
      <c r="J345" s="136"/>
      <c r="M345" s="1"/>
      <c r="P345" s="1"/>
      <c r="Q345" s="1"/>
      <c r="U345" s="1"/>
      <c r="AA345" s="1"/>
    </row>
    <row r="346" ht="15.75" customHeight="1">
      <c r="A346" s="1"/>
      <c r="B346" s="1"/>
      <c r="C346" s="1"/>
      <c r="D346" s="1"/>
      <c r="G346" s="113"/>
      <c r="H346" s="1"/>
      <c r="I346" s="1"/>
      <c r="J346" s="136"/>
      <c r="M346" s="1"/>
      <c r="P346" s="1"/>
      <c r="Q346" s="1"/>
      <c r="U346" s="1"/>
      <c r="AA346" s="1"/>
    </row>
    <row r="347" ht="15.75" customHeight="1">
      <c r="A347" s="1"/>
      <c r="B347" s="1"/>
      <c r="C347" s="1"/>
      <c r="D347" s="1"/>
      <c r="G347" s="113"/>
      <c r="H347" s="1"/>
      <c r="I347" s="1"/>
      <c r="J347" s="136"/>
      <c r="M347" s="1"/>
      <c r="P347" s="1"/>
      <c r="Q347" s="1"/>
      <c r="U347" s="1"/>
      <c r="AA347" s="1"/>
    </row>
    <row r="348" ht="15.75" customHeight="1">
      <c r="A348" s="1"/>
      <c r="B348" s="1"/>
      <c r="C348" s="1"/>
      <c r="D348" s="1"/>
      <c r="G348" s="113"/>
      <c r="H348" s="1"/>
      <c r="I348" s="1"/>
      <c r="J348" s="136"/>
      <c r="M348" s="1"/>
      <c r="P348" s="1"/>
      <c r="Q348" s="1"/>
      <c r="U348" s="1"/>
      <c r="AA348" s="1"/>
    </row>
    <row r="349" ht="15.75" customHeight="1">
      <c r="A349" s="1"/>
      <c r="B349" s="1"/>
      <c r="C349" s="1"/>
      <c r="D349" s="1"/>
      <c r="G349" s="113"/>
      <c r="H349" s="1"/>
      <c r="I349" s="1"/>
      <c r="J349" s="136"/>
      <c r="M349" s="1"/>
      <c r="P349" s="1"/>
      <c r="Q349" s="1"/>
      <c r="U349" s="1"/>
      <c r="AA349" s="1"/>
    </row>
    <row r="350" ht="15.75" customHeight="1">
      <c r="A350" s="1"/>
      <c r="B350" s="1"/>
      <c r="C350" s="1"/>
      <c r="D350" s="1"/>
      <c r="G350" s="113"/>
      <c r="H350" s="1"/>
      <c r="I350" s="1"/>
      <c r="J350" s="136"/>
      <c r="M350" s="1"/>
      <c r="P350" s="1"/>
      <c r="Q350" s="1"/>
      <c r="U350" s="1"/>
      <c r="AA350" s="1"/>
    </row>
    <row r="351" ht="15.75" customHeight="1">
      <c r="A351" s="1"/>
      <c r="B351" s="1"/>
      <c r="C351" s="1"/>
      <c r="D351" s="1"/>
      <c r="G351" s="113"/>
      <c r="H351" s="1"/>
      <c r="I351" s="1"/>
      <c r="J351" s="136"/>
      <c r="M351" s="1"/>
      <c r="P351" s="1"/>
      <c r="Q351" s="1"/>
      <c r="U351" s="1"/>
      <c r="AA351" s="1"/>
    </row>
    <row r="352" ht="15.75" customHeight="1">
      <c r="A352" s="1"/>
      <c r="B352" s="1"/>
      <c r="C352" s="1"/>
      <c r="D352" s="1"/>
      <c r="G352" s="113"/>
      <c r="H352" s="1"/>
      <c r="I352" s="1"/>
      <c r="J352" s="136"/>
      <c r="M352" s="1"/>
      <c r="P352" s="1"/>
      <c r="Q352" s="1"/>
      <c r="U352" s="1"/>
      <c r="AA352" s="1"/>
    </row>
    <row r="353" ht="15.75" customHeight="1">
      <c r="A353" s="1"/>
      <c r="B353" s="1"/>
      <c r="C353" s="1"/>
      <c r="D353" s="1"/>
      <c r="G353" s="113"/>
      <c r="H353" s="1"/>
      <c r="I353" s="1"/>
      <c r="J353" s="136"/>
      <c r="M353" s="1"/>
      <c r="P353" s="1"/>
      <c r="Q353" s="1"/>
      <c r="U353" s="1"/>
      <c r="AA353" s="1"/>
    </row>
    <row r="354" ht="15.75" customHeight="1">
      <c r="A354" s="1"/>
      <c r="B354" s="1"/>
      <c r="C354" s="1"/>
      <c r="D354" s="1"/>
      <c r="G354" s="113"/>
      <c r="H354" s="1"/>
      <c r="I354" s="1"/>
      <c r="J354" s="136"/>
      <c r="M354" s="1"/>
      <c r="P354" s="1"/>
      <c r="Q354" s="1"/>
      <c r="U354" s="1"/>
      <c r="AA354" s="1"/>
    </row>
    <row r="355" ht="15.75" customHeight="1">
      <c r="A355" s="1"/>
      <c r="B355" s="1"/>
      <c r="C355" s="1"/>
      <c r="D355" s="1"/>
      <c r="G355" s="113"/>
      <c r="H355" s="1"/>
      <c r="I355" s="1"/>
      <c r="J355" s="136"/>
      <c r="M355" s="1"/>
      <c r="P355" s="1"/>
      <c r="Q355" s="1"/>
      <c r="U355" s="1"/>
      <c r="AA355" s="1"/>
    </row>
    <row r="356" ht="15.75" customHeight="1">
      <c r="A356" s="1"/>
      <c r="B356" s="1"/>
      <c r="C356" s="1"/>
      <c r="D356" s="1"/>
      <c r="G356" s="113"/>
      <c r="H356" s="1"/>
      <c r="I356" s="1"/>
      <c r="J356" s="136"/>
      <c r="M356" s="1"/>
      <c r="P356" s="1"/>
      <c r="Q356" s="1"/>
      <c r="U356" s="1"/>
      <c r="AA356" s="1"/>
    </row>
    <row r="357" ht="15.75" customHeight="1">
      <c r="A357" s="1"/>
      <c r="B357" s="1"/>
      <c r="C357" s="1"/>
      <c r="D357" s="1"/>
      <c r="G357" s="113"/>
      <c r="H357" s="1"/>
      <c r="I357" s="1"/>
      <c r="J357" s="136"/>
      <c r="M357" s="1"/>
      <c r="P357" s="1"/>
      <c r="Q357" s="1"/>
      <c r="U357" s="1"/>
      <c r="AA357" s="1"/>
    </row>
    <row r="358" ht="15.75" customHeight="1">
      <c r="A358" s="1"/>
      <c r="B358" s="1"/>
      <c r="C358" s="1"/>
      <c r="D358" s="1"/>
      <c r="G358" s="113"/>
      <c r="H358" s="1"/>
      <c r="I358" s="1"/>
      <c r="J358" s="136"/>
      <c r="M358" s="1"/>
      <c r="P358" s="1"/>
      <c r="Q358" s="1"/>
      <c r="U358" s="1"/>
      <c r="AA358" s="1"/>
    </row>
    <row r="359" ht="15.75" customHeight="1">
      <c r="A359" s="1"/>
      <c r="B359" s="1"/>
      <c r="C359" s="1"/>
      <c r="D359" s="1"/>
      <c r="G359" s="113"/>
      <c r="H359" s="1"/>
      <c r="I359" s="1"/>
      <c r="J359" s="136"/>
      <c r="M359" s="1"/>
      <c r="P359" s="1"/>
      <c r="Q359" s="1"/>
      <c r="U359" s="1"/>
      <c r="AA359" s="1"/>
    </row>
    <row r="360" ht="15.75" customHeight="1">
      <c r="A360" s="1"/>
      <c r="B360" s="1"/>
      <c r="C360" s="1"/>
      <c r="D360" s="1"/>
      <c r="G360" s="113"/>
      <c r="H360" s="1"/>
      <c r="I360" s="1"/>
      <c r="J360" s="136"/>
      <c r="M360" s="1"/>
      <c r="P360" s="1"/>
      <c r="Q360" s="1"/>
      <c r="U360" s="1"/>
      <c r="AA360" s="1"/>
    </row>
    <row r="361" ht="15.75" customHeight="1">
      <c r="A361" s="1"/>
      <c r="B361" s="1"/>
      <c r="C361" s="1"/>
      <c r="D361" s="1"/>
      <c r="G361" s="113"/>
      <c r="H361" s="1"/>
      <c r="I361" s="1"/>
      <c r="J361" s="136"/>
      <c r="M361" s="1"/>
      <c r="P361" s="1"/>
      <c r="Q361" s="1"/>
      <c r="U361" s="1"/>
      <c r="AA361" s="1"/>
    </row>
    <row r="362" ht="15.75" customHeight="1">
      <c r="A362" s="1"/>
      <c r="B362" s="1"/>
      <c r="C362" s="1"/>
      <c r="D362" s="1"/>
      <c r="G362" s="113"/>
      <c r="H362" s="1"/>
      <c r="I362" s="1"/>
      <c r="J362" s="136"/>
      <c r="M362" s="1"/>
      <c r="P362" s="1"/>
      <c r="Q362" s="1"/>
      <c r="U362" s="1"/>
      <c r="AA362" s="1"/>
    </row>
    <row r="363" ht="15.75" customHeight="1">
      <c r="A363" s="1"/>
      <c r="B363" s="1"/>
      <c r="C363" s="1"/>
      <c r="D363" s="1"/>
      <c r="G363" s="113"/>
      <c r="H363" s="1"/>
      <c r="I363" s="1"/>
      <c r="J363" s="136"/>
      <c r="M363" s="1"/>
      <c r="P363" s="1"/>
      <c r="Q363" s="1"/>
      <c r="U363" s="1"/>
      <c r="AA363" s="1"/>
    </row>
    <row r="364" ht="15.75" customHeight="1">
      <c r="A364" s="1"/>
      <c r="B364" s="1"/>
      <c r="C364" s="1"/>
      <c r="D364" s="1"/>
      <c r="G364" s="113"/>
      <c r="H364" s="1"/>
      <c r="I364" s="1"/>
      <c r="J364" s="136"/>
      <c r="M364" s="1"/>
      <c r="P364" s="1"/>
      <c r="Q364" s="1"/>
      <c r="U364" s="1"/>
      <c r="AA364" s="1"/>
    </row>
    <row r="365" ht="15.75" customHeight="1">
      <c r="A365" s="1"/>
      <c r="B365" s="1"/>
      <c r="C365" s="1"/>
      <c r="D365" s="1"/>
      <c r="G365" s="113"/>
      <c r="H365" s="1"/>
      <c r="I365" s="1"/>
      <c r="J365" s="136"/>
      <c r="M365" s="1"/>
      <c r="P365" s="1"/>
      <c r="Q365" s="1"/>
      <c r="U365" s="1"/>
      <c r="AA365" s="1"/>
    </row>
    <row r="366" ht="15.75" customHeight="1">
      <c r="A366" s="1"/>
      <c r="B366" s="1"/>
      <c r="C366" s="1"/>
      <c r="D366" s="1"/>
      <c r="G366" s="113"/>
      <c r="H366" s="1"/>
      <c r="I366" s="1"/>
      <c r="J366" s="136"/>
      <c r="M366" s="1"/>
      <c r="P366" s="1"/>
      <c r="Q366" s="1"/>
      <c r="U366" s="1"/>
      <c r="AA366" s="1"/>
    </row>
    <row r="367" ht="15.75" customHeight="1">
      <c r="A367" s="1"/>
      <c r="B367" s="1"/>
      <c r="C367" s="1"/>
      <c r="D367" s="1"/>
      <c r="G367" s="113"/>
      <c r="H367" s="1"/>
      <c r="I367" s="1"/>
      <c r="J367" s="136"/>
      <c r="M367" s="1"/>
      <c r="P367" s="1"/>
      <c r="Q367" s="1"/>
      <c r="U367" s="1"/>
      <c r="AA367" s="1"/>
    </row>
    <row r="368" ht="15.75" customHeight="1">
      <c r="A368" s="1"/>
      <c r="B368" s="1"/>
      <c r="C368" s="1"/>
      <c r="D368" s="1"/>
      <c r="G368" s="113"/>
      <c r="H368" s="1"/>
      <c r="I368" s="1"/>
      <c r="J368" s="136"/>
      <c r="M368" s="1"/>
      <c r="P368" s="1"/>
      <c r="Q368" s="1"/>
      <c r="U368" s="1"/>
      <c r="AA368" s="1"/>
    </row>
    <row r="369" ht="15.75" customHeight="1">
      <c r="A369" s="1"/>
      <c r="B369" s="1"/>
      <c r="C369" s="1"/>
      <c r="D369" s="1"/>
      <c r="G369" s="113"/>
      <c r="H369" s="1"/>
      <c r="I369" s="1"/>
      <c r="J369" s="136"/>
      <c r="M369" s="1"/>
      <c r="P369" s="1"/>
      <c r="Q369" s="1"/>
      <c r="U369" s="1"/>
      <c r="AA369" s="1"/>
    </row>
    <row r="370" ht="15.75" customHeight="1">
      <c r="A370" s="1"/>
      <c r="B370" s="1"/>
      <c r="C370" s="1"/>
      <c r="D370" s="1"/>
      <c r="G370" s="113"/>
      <c r="H370" s="1"/>
      <c r="I370" s="1"/>
      <c r="J370" s="136"/>
      <c r="M370" s="1"/>
      <c r="P370" s="1"/>
      <c r="Q370" s="1"/>
      <c r="U370" s="1"/>
      <c r="AA370" s="1"/>
    </row>
    <row r="371" ht="15.75" customHeight="1">
      <c r="A371" s="1"/>
      <c r="B371" s="1"/>
      <c r="C371" s="1"/>
      <c r="D371" s="1"/>
      <c r="G371" s="113"/>
      <c r="H371" s="1"/>
      <c r="I371" s="1"/>
      <c r="J371" s="136"/>
      <c r="M371" s="1"/>
      <c r="P371" s="1"/>
      <c r="Q371" s="1"/>
      <c r="U371" s="1"/>
      <c r="AA371" s="1"/>
    </row>
    <row r="372" ht="15.75" customHeight="1">
      <c r="A372" s="1"/>
      <c r="B372" s="1"/>
      <c r="C372" s="1"/>
      <c r="D372" s="1"/>
      <c r="G372" s="113"/>
      <c r="H372" s="1"/>
      <c r="I372" s="1"/>
      <c r="J372" s="136"/>
      <c r="M372" s="1"/>
      <c r="P372" s="1"/>
      <c r="Q372" s="1"/>
      <c r="U372" s="1"/>
      <c r="AA372" s="1"/>
    </row>
    <row r="373" ht="15.75" customHeight="1">
      <c r="A373" s="1"/>
      <c r="B373" s="1"/>
      <c r="C373" s="1"/>
      <c r="D373" s="1"/>
      <c r="G373" s="113"/>
      <c r="H373" s="1"/>
      <c r="I373" s="1"/>
      <c r="J373" s="136"/>
      <c r="M373" s="1"/>
      <c r="P373" s="1"/>
      <c r="Q373" s="1"/>
      <c r="U373" s="1"/>
      <c r="AA373" s="1"/>
    </row>
    <row r="374" ht="15.75" customHeight="1">
      <c r="A374" s="1"/>
      <c r="B374" s="1"/>
      <c r="C374" s="1"/>
      <c r="D374" s="1"/>
      <c r="G374" s="113"/>
      <c r="H374" s="1"/>
      <c r="I374" s="1"/>
      <c r="J374" s="136"/>
      <c r="M374" s="1"/>
      <c r="P374" s="1"/>
      <c r="Q374" s="1"/>
      <c r="U374" s="1"/>
      <c r="AA374" s="1"/>
    </row>
    <row r="375" ht="15.75" customHeight="1">
      <c r="A375" s="1"/>
      <c r="B375" s="1"/>
      <c r="C375" s="1"/>
      <c r="D375" s="1"/>
      <c r="G375" s="113"/>
      <c r="H375" s="1"/>
      <c r="I375" s="1"/>
      <c r="J375" s="136"/>
      <c r="M375" s="1"/>
      <c r="P375" s="1"/>
      <c r="Q375" s="1"/>
      <c r="U375" s="1"/>
      <c r="AA375" s="1"/>
    </row>
    <row r="376" ht="15.75" customHeight="1">
      <c r="A376" s="1"/>
      <c r="B376" s="1"/>
      <c r="C376" s="1"/>
      <c r="D376" s="1"/>
      <c r="G376" s="113"/>
      <c r="H376" s="1"/>
      <c r="I376" s="1"/>
      <c r="J376" s="136"/>
      <c r="M376" s="1"/>
      <c r="P376" s="1"/>
      <c r="Q376" s="1"/>
      <c r="U376" s="1"/>
      <c r="AA376" s="1"/>
    </row>
    <row r="377" ht="15.75" customHeight="1">
      <c r="A377" s="1"/>
      <c r="B377" s="1"/>
      <c r="C377" s="1"/>
      <c r="D377" s="1"/>
      <c r="G377" s="113"/>
      <c r="H377" s="1"/>
      <c r="I377" s="1"/>
      <c r="J377" s="136"/>
      <c r="M377" s="1"/>
      <c r="P377" s="1"/>
      <c r="Q377" s="1"/>
      <c r="U377" s="1"/>
      <c r="AA377" s="1"/>
    </row>
    <row r="378" ht="15.75" customHeight="1">
      <c r="A378" s="1"/>
      <c r="B378" s="1"/>
      <c r="C378" s="1"/>
      <c r="D378" s="1"/>
      <c r="G378" s="113"/>
      <c r="H378" s="1"/>
      <c r="I378" s="1"/>
      <c r="J378" s="136"/>
      <c r="M378" s="1"/>
      <c r="P378" s="1"/>
      <c r="Q378" s="1"/>
      <c r="U378" s="1"/>
      <c r="AA378" s="1"/>
    </row>
    <row r="379" ht="15.75" customHeight="1">
      <c r="A379" s="1"/>
      <c r="B379" s="1"/>
      <c r="C379" s="1"/>
      <c r="D379" s="1"/>
      <c r="G379" s="113"/>
      <c r="H379" s="1"/>
      <c r="I379" s="1"/>
      <c r="J379" s="136"/>
      <c r="M379" s="1"/>
      <c r="P379" s="1"/>
      <c r="Q379" s="1"/>
      <c r="U379" s="1"/>
      <c r="AA379" s="1"/>
    </row>
    <row r="380" ht="15.75" customHeight="1">
      <c r="A380" s="1"/>
      <c r="B380" s="1"/>
      <c r="C380" s="1"/>
      <c r="D380" s="1"/>
      <c r="G380" s="113"/>
      <c r="H380" s="1"/>
      <c r="I380" s="1"/>
      <c r="J380" s="136"/>
      <c r="M380" s="1"/>
      <c r="P380" s="1"/>
      <c r="Q380" s="1"/>
      <c r="U380" s="1"/>
      <c r="AA380" s="1"/>
    </row>
    <row r="381" ht="15.75" customHeight="1">
      <c r="A381" s="1"/>
      <c r="B381" s="1"/>
      <c r="C381" s="1"/>
      <c r="D381" s="1"/>
      <c r="G381" s="113"/>
      <c r="H381" s="1"/>
      <c r="I381" s="1"/>
      <c r="J381" s="136"/>
      <c r="M381" s="1"/>
      <c r="P381" s="1"/>
      <c r="Q381" s="1"/>
      <c r="U381" s="1"/>
      <c r="AA381" s="1"/>
    </row>
    <row r="382" ht="15.75" customHeight="1">
      <c r="A382" s="1"/>
      <c r="B382" s="1"/>
      <c r="C382" s="1"/>
      <c r="D382" s="1"/>
      <c r="G382" s="113"/>
      <c r="H382" s="1"/>
      <c r="I382" s="1"/>
      <c r="J382" s="136"/>
      <c r="M382" s="1"/>
      <c r="P382" s="1"/>
      <c r="Q382" s="1"/>
      <c r="U382" s="1"/>
      <c r="AA382" s="1"/>
    </row>
    <row r="383" ht="15.75" customHeight="1">
      <c r="A383" s="1"/>
      <c r="B383" s="1"/>
      <c r="C383" s="1"/>
      <c r="D383" s="1"/>
      <c r="G383" s="113"/>
      <c r="H383" s="1"/>
      <c r="I383" s="1"/>
      <c r="J383" s="136"/>
      <c r="M383" s="1"/>
      <c r="P383" s="1"/>
      <c r="Q383" s="1"/>
      <c r="U383" s="1"/>
      <c r="AA383" s="1"/>
    </row>
    <row r="384" ht="15.75" customHeight="1">
      <c r="A384" s="1"/>
      <c r="B384" s="1"/>
      <c r="C384" s="1"/>
      <c r="D384" s="1"/>
      <c r="G384" s="113"/>
      <c r="H384" s="1"/>
      <c r="I384" s="1"/>
      <c r="J384" s="136"/>
      <c r="M384" s="1"/>
      <c r="P384" s="1"/>
      <c r="Q384" s="1"/>
      <c r="U384" s="1"/>
      <c r="AA384" s="1"/>
    </row>
    <row r="385" ht="15.75" customHeight="1">
      <c r="A385" s="1"/>
      <c r="B385" s="1"/>
      <c r="C385" s="1"/>
      <c r="D385" s="1"/>
      <c r="G385" s="113"/>
      <c r="H385" s="1"/>
      <c r="I385" s="1"/>
      <c r="J385" s="136"/>
      <c r="M385" s="1"/>
      <c r="P385" s="1"/>
      <c r="Q385" s="1"/>
      <c r="U385" s="1"/>
      <c r="AA385" s="1"/>
    </row>
    <row r="386" ht="15.75" customHeight="1">
      <c r="A386" s="1"/>
      <c r="B386" s="1"/>
      <c r="C386" s="1"/>
      <c r="D386" s="1"/>
      <c r="G386" s="113"/>
      <c r="H386" s="1"/>
      <c r="I386" s="1"/>
      <c r="J386" s="136"/>
      <c r="M386" s="1"/>
      <c r="P386" s="1"/>
      <c r="Q386" s="1"/>
      <c r="U386" s="1"/>
      <c r="AA386" s="1"/>
    </row>
    <row r="387" ht="15.75" customHeight="1">
      <c r="A387" s="1"/>
      <c r="B387" s="1"/>
      <c r="C387" s="1"/>
      <c r="D387" s="1"/>
      <c r="G387" s="113"/>
      <c r="H387" s="1"/>
      <c r="I387" s="1"/>
      <c r="J387" s="136"/>
      <c r="M387" s="1"/>
      <c r="P387" s="1"/>
      <c r="Q387" s="1"/>
      <c r="U387" s="1"/>
      <c r="AA387" s="1"/>
    </row>
    <row r="388" ht="15.75" customHeight="1">
      <c r="A388" s="1"/>
      <c r="B388" s="1"/>
      <c r="C388" s="1"/>
      <c r="D388" s="1"/>
      <c r="G388" s="113"/>
      <c r="H388" s="1"/>
      <c r="I388" s="1"/>
      <c r="J388" s="136"/>
      <c r="M388" s="1"/>
      <c r="P388" s="1"/>
      <c r="Q388" s="1"/>
      <c r="U388" s="1"/>
      <c r="AA388" s="1"/>
    </row>
    <row r="389" ht="15.75" customHeight="1">
      <c r="A389" s="1"/>
      <c r="B389" s="1"/>
      <c r="C389" s="1"/>
      <c r="D389" s="1"/>
      <c r="G389" s="113"/>
      <c r="H389" s="1"/>
      <c r="I389" s="1"/>
      <c r="J389" s="136"/>
      <c r="M389" s="1"/>
      <c r="P389" s="1"/>
      <c r="Q389" s="1"/>
      <c r="U389" s="1"/>
      <c r="AA389" s="1"/>
    </row>
    <row r="390" ht="15.75" customHeight="1">
      <c r="A390" s="1"/>
      <c r="B390" s="1"/>
      <c r="C390" s="1"/>
      <c r="D390" s="1"/>
      <c r="G390" s="113"/>
      <c r="H390" s="1"/>
      <c r="I390" s="1"/>
      <c r="J390" s="136"/>
      <c r="M390" s="1"/>
      <c r="P390" s="1"/>
      <c r="Q390" s="1"/>
      <c r="U390" s="1"/>
      <c r="AA390" s="1"/>
    </row>
    <row r="391" ht="15.75" customHeight="1">
      <c r="A391" s="1"/>
      <c r="B391" s="1"/>
      <c r="C391" s="1"/>
      <c r="D391" s="1"/>
      <c r="G391" s="113"/>
      <c r="H391" s="1"/>
      <c r="I391" s="1"/>
      <c r="J391" s="136"/>
      <c r="M391" s="1"/>
      <c r="P391" s="1"/>
      <c r="Q391" s="1"/>
      <c r="U391" s="1"/>
      <c r="AA391" s="1"/>
    </row>
    <row r="392" ht="15.75" customHeight="1">
      <c r="A392" s="1"/>
      <c r="B392" s="1"/>
      <c r="C392" s="1"/>
      <c r="D392" s="1"/>
      <c r="G392" s="113"/>
      <c r="H392" s="1"/>
      <c r="I392" s="1"/>
      <c r="J392" s="136"/>
      <c r="M392" s="1"/>
      <c r="P392" s="1"/>
      <c r="Q392" s="1"/>
      <c r="U392" s="1"/>
      <c r="AA392" s="1"/>
    </row>
    <row r="393" ht="15.75" customHeight="1">
      <c r="A393" s="1"/>
      <c r="B393" s="1"/>
      <c r="C393" s="1"/>
      <c r="D393" s="1"/>
      <c r="G393" s="113"/>
      <c r="H393" s="1"/>
      <c r="I393" s="1"/>
      <c r="J393" s="136"/>
      <c r="M393" s="1"/>
      <c r="P393" s="1"/>
      <c r="Q393" s="1"/>
      <c r="U393" s="1"/>
      <c r="AA393" s="1"/>
    </row>
    <row r="394" ht="15.75" customHeight="1">
      <c r="A394" s="1"/>
      <c r="B394" s="1"/>
      <c r="C394" s="1"/>
      <c r="D394" s="1"/>
      <c r="G394" s="113"/>
      <c r="H394" s="1"/>
      <c r="I394" s="1"/>
      <c r="J394" s="136"/>
      <c r="M394" s="1"/>
      <c r="P394" s="1"/>
      <c r="Q394" s="1"/>
      <c r="U394" s="1"/>
      <c r="AA394" s="1"/>
    </row>
    <row r="395" ht="15.75" customHeight="1">
      <c r="A395" s="1"/>
      <c r="B395" s="1"/>
      <c r="C395" s="1"/>
      <c r="D395" s="1"/>
      <c r="G395" s="113"/>
      <c r="H395" s="1"/>
      <c r="I395" s="1"/>
      <c r="J395" s="136"/>
      <c r="M395" s="1"/>
      <c r="P395" s="1"/>
      <c r="Q395" s="1"/>
      <c r="U395" s="1"/>
      <c r="AA395" s="1"/>
    </row>
    <row r="396" ht="15.75" customHeight="1">
      <c r="A396" s="1"/>
      <c r="B396" s="1"/>
      <c r="C396" s="1"/>
      <c r="D396" s="1"/>
      <c r="G396" s="113"/>
      <c r="H396" s="1"/>
      <c r="I396" s="1"/>
      <c r="J396" s="136"/>
      <c r="M396" s="1"/>
      <c r="P396" s="1"/>
      <c r="Q396" s="1"/>
      <c r="U396" s="1"/>
      <c r="AA396" s="1"/>
    </row>
    <row r="397" ht="15.75" customHeight="1">
      <c r="A397" s="1"/>
      <c r="B397" s="1"/>
      <c r="C397" s="1"/>
      <c r="D397" s="1"/>
      <c r="G397" s="113"/>
      <c r="H397" s="1"/>
      <c r="I397" s="1"/>
      <c r="J397" s="136"/>
      <c r="M397" s="1"/>
      <c r="P397" s="1"/>
      <c r="Q397" s="1"/>
      <c r="U397" s="1"/>
      <c r="AA397" s="1"/>
    </row>
    <row r="398" ht="15.75" customHeight="1">
      <c r="A398" s="1"/>
      <c r="B398" s="1"/>
      <c r="C398" s="1"/>
      <c r="D398" s="1"/>
      <c r="G398" s="113"/>
      <c r="H398" s="1"/>
      <c r="I398" s="1"/>
      <c r="J398" s="136"/>
      <c r="M398" s="1"/>
      <c r="P398" s="1"/>
      <c r="Q398" s="1"/>
      <c r="U398" s="1"/>
      <c r="AA398" s="1"/>
    </row>
    <row r="399" ht="15.75" customHeight="1">
      <c r="A399" s="1"/>
      <c r="B399" s="1"/>
      <c r="C399" s="1"/>
      <c r="D399" s="1"/>
      <c r="G399" s="113"/>
      <c r="H399" s="1"/>
      <c r="I399" s="1"/>
      <c r="J399" s="136"/>
      <c r="M399" s="1"/>
      <c r="P399" s="1"/>
      <c r="Q399" s="1"/>
      <c r="U399" s="1"/>
      <c r="AA399" s="1"/>
    </row>
    <row r="400" ht="15.75" customHeight="1">
      <c r="A400" s="1"/>
      <c r="B400" s="1"/>
      <c r="C400" s="1"/>
      <c r="D400" s="1"/>
      <c r="G400" s="113"/>
      <c r="H400" s="1"/>
      <c r="I400" s="1"/>
      <c r="J400" s="136"/>
      <c r="M400" s="1"/>
      <c r="P400" s="1"/>
      <c r="Q400" s="1"/>
      <c r="U400" s="1"/>
      <c r="AA400" s="1"/>
    </row>
    <row r="401" ht="15.75" customHeight="1">
      <c r="A401" s="1"/>
      <c r="B401" s="1"/>
      <c r="C401" s="1"/>
      <c r="D401" s="1"/>
      <c r="G401" s="113"/>
      <c r="H401" s="1"/>
      <c r="I401" s="1"/>
      <c r="J401" s="136"/>
      <c r="M401" s="1"/>
      <c r="P401" s="1"/>
      <c r="Q401" s="1"/>
      <c r="U401" s="1"/>
      <c r="AA401" s="1"/>
    </row>
    <row r="402" ht="15.75" customHeight="1">
      <c r="A402" s="1"/>
      <c r="B402" s="1"/>
      <c r="C402" s="1"/>
      <c r="D402" s="1"/>
      <c r="G402" s="113"/>
      <c r="H402" s="1"/>
      <c r="I402" s="1"/>
      <c r="J402" s="136"/>
      <c r="M402" s="1"/>
      <c r="P402" s="1"/>
      <c r="Q402" s="1"/>
      <c r="U402" s="1"/>
      <c r="AA402" s="1"/>
    </row>
    <row r="403" ht="15.75" customHeight="1">
      <c r="A403" s="1"/>
      <c r="B403" s="1"/>
      <c r="C403" s="1"/>
      <c r="D403" s="1"/>
      <c r="G403" s="113"/>
      <c r="H403" s="1"/>
      <c r="I403" s="1"/>
      <c r="J403" s="136"/>
      <c r="M403" s="1"/>
      <c r="P403" s="1"/>
      <c r="Q403" s="1"/>
      <c r="U403" s="1"/>
      <c r="AA403" s="1"/>
    </row>
    <row r="404" ht="15.75" customHeight="1">
      <c r="A404" s="1"/>
      <c r="B404" s="1"/>
      <c r="C404" s="1"/>
      <c r="D404" s="1"/>
      <c r="G404" s="113"/>
      <c r="H404" s="1"/>
      <c r="I404" s="1"/>
      <c r="J404" s="136"/>
      <c r="M404" s="1"/>
      <c r="P404" s="1"/>
      <c r="Q404" s="1"/>
      <c r="U404" s="1"/>
      <c r="AA404" s="1"/>
    </row>
    <row r="405" ht="15.75" customHeight="1">
      <c r="A405" s="1"/>
      <c r="B405" s="1"/>
      <c r="C405" s="1"/>
      <c r="D405" s="1"/>
      <c r="G405" s="113"/>
      <c r="H405" s="1"/>
      <c r="I405" s="1"/>
      <c r="J405" s="136"/>
      <c r="M405" s="1"/>
      <c r="P405" s="1"/>
      <c r="Q405" s="1"/>
      <c r="U405" s="1"/>
      <c r="AA405" s="1"/>
    </row>
    <row r="406" ht="15.75" customHeight="1">
      <c r="A406" s="1"/>
      <c r="B406" s="1"/>
      <c r="C406" s="1"/>
      <c r="D406" s="1"/>
      <c r="G406" s="113"/>
      <c r="H406" s="1"/>
      <c r="I406" s="1"/>
      <c r="J406" s="136"/>
      <c r="M406" s="1"/>
      <c r="P406" s="1"/>
      <c r="Q406" s="1"/>
      <c r="U406" s="1"/>
      <c r="AA406" s="1"/>
    </row>
    <row r="407" ht="15.75" customHeight="1">
      <c r="A407" s="1"/>
      <c r="B407" s="1"/>
      <c r="C407" s="1"/>
      <c r="D407" s="1"/>
      <c r="G407" s="113"/>
      <c r="H407" s="1"/>
      <c r="I407" s="1"/>
      <c r="J407" s="136"/>
      <c r="M407" s="1"/>
      <c r="P407" s="1"/>
      <c r="Q407" s="1"/>
      <c r="U407" s="1"/>
      <c r="AA407" s="1"/>
    </row>
    <row r="408" ht="15.75" customHeight="1">
      <c r="A408" s="1"/>
      <c r="B408" s="1"/>
      <c r="C408" s="1"/>
      <c r="D408" s="1"/>
      <c r="G408" s="113"/>
      <c r="H408" s="1"/>
      <c r="I408" s="1"/>
      <c r="J408" s="136"/>
      <c r="M408" s="1"/>
      <c r="P408" s="1"/>
      <c r="Q408" s="1"/>
      <c r="U408" s="1"/>
      <c r="AA408" s="1"/>
    </row>
    <row r="409" ht="15.75" customHeight="1">
      <c r="A409" s="1"/>
      <c r="B409" s="1"/>
      <c r="C409" s="1"/>
      <c r="D409" s="1"/>
      <c r="G409" s="113"/>
      <c r="H409" s="1"/>
      <c r="I409" s="1"/>
      <c r="J409" s="136"/>
      <c r="M409" s="1"/>
      <c r="P409" s="1"/>
      <c r="Q409" s="1"/>
      <c r="U409" s="1"/>
      <c r="AA409" s="1"/>
    </row>
    <row r="410" ht="15.75" customHeight="1">
      <c r="A410" s="1"/>
      <c r="B410" s="1"/>
      <c r="C410" s="1"/>
      <c r="D410" s="1"/>
      <c r="G410" s="113"/>
      <c r="H410" s="1"/>
      <c r="I410" s="1"/>
      <c r="J410" s="136"/>
      <c r="M410" s="1"/>
      <c r="P410" s="1"/>
      <c r="Q410" s="1"/>
      <c r="U410" s="1"/>
      <c r="AA410" s="1"/>
    </row>
    <row r="411" ht="15.75" customHeight="1">
      <c r="A411" s="1"/>
      <c r="B411" s="1"/>
      <c r="C411" s="1"/>
      <c r="D411" s="1"/>
      <c r="G411" s="113"/>
      <c r="H411" s="1"/>
      <c r="I411" s="1"/>
      <c r="J411" s="136"/>
      <c r="M411" s="1"/>
      <c r="P411" s="1"/>
      <c r="Q411" s="1"/>
      <c r="U411" s="1"/>
      <c r="AA411" s="1"/>
    </row>
    <row r="412" ht="15.75" customHeight="1">
      <c r="A412" s="1"/>
      <c r="B412" s="1"/>
      <c r="C412" s="1"/>
      <c r="D412" s="1"/>
      <c r="G412" s="113"/>
      <c r="H412" s="1"/>
      <c r="I412" s="1"/>
      <c r="J412" s="136"/>
      <c r="M412" s="1"/>
      <c r="P412" s="1"/>
      <c r="Q412" s="1"/>
      <c r="U412" s="1"/>
      <c r="AA412" s="1"/>
    </row>
    <row r="413" ht="15.75" customHeight="1">
      <c r="A413" s="1"/>
      <c r="B413" s="1"/>
      <c r="C413" s="1"/>
      <c r="D413" s="1"/>
      <c r="G413" s="113"/>
      <c r="H413" s="1"/>
      <c r="I413" s="1"/>
      <c r="J413" s="136"/>
      <c r="M413" s="1"/>
      <c r="P413" s="1"/>
      <c r="Q413" s="1"/>
      <c r="U413" s="1"/>
      <c r="AA413" s="1"/>
    </row>
    <row r="414" ht="15.75" customHeight="1">
      <c r="A414" s="1"/>
      <c r="B414" s="1"/>
      <c r="C414" s="1"/>
      <c r="D414" s="1"/>
      <c r="G414" s="113"/>
      <c r="H414" s="1"/>
      <c r="I414" s="1"/>
      <c r="J414" s="136"/>
      <c r="M414" s="1"/>
      <c r="P414" s="1"/>
      <c r="Q414" s="1"/>
      <c r="U414" s="1"/>
      <c r="AA414" s="1"/>
    </row>
    <row r="415" ht="15.75" customHeight="1">
      <c r="A415" s="1"/>
      <c r="B415" s="1"/>
      <c r="C415" s="1"/>
      <c r="D415" s="1"/>
      <c r="G415" s="113"/>
      <c r="H415" s="1"/>
      <c r="I415" s="1"/>
      <c r="J415" s="136"/>
      <c r="M415" s="1"/>
      <c r="P415" s="1"/>
      <c r="Q415" s="1"/>
      <c r="U415" s="1"/>
      <c r="AA415" s="1"/>
    </row>
    <row r="416" ht="15.75" customHeight="1">
      <c r="A416" s="1"/>
      <c r="B416" s="1"/>
      <c r="C416" s="1"/>
      <c r="D416" s="1"/>
      <c r="G416" s="113"/>
      <c r="H416" s="1"/>
      <c r="I416" s="1"/>
      <c r="J416" s="136"/>
      <c r="M416" s="1"/>
      <c r="P416" s="1"/>
      <c r="Q416" s="1"/>
      <c r="U416" s="1"/>
      <c r="AA416" s="1"/>
    </row>
    <row r="417" ht="15.75" customHeight="1">
      <c r="A417" s="1"/>
      <c r="B417" s="1"/>
      <c r="C417" s="1"/>
      <c r="D417" s="1"/>
      <c r="G417" s="113"/>
      <c r="H417" s="1"/>
      <c r="I417" s="1"/>
      <c r="J417" s="136"/>
      <c r="M417" s="1"/>
      <c r="P417" s="1"/>
      <c r="Q417" s="1"/>
      <c r="U417" s="1"/>
      <c r="AA417" s="1"/>
    </row>
    <row r="418" ht="15.75" customHeight="1">
      <c r="A418" s="1"/>
      <c r="B418" s="1"/>
      <c r="C418" s="1"/>
      <c r="D418" s="1"/>
      <c r="G418" s="113"/>
      <c r="H418" s="1"/>
      <c r="I418" s="1"/>
      <c r="J418" s="136"/>
      <c r="M418" s="1"/>
      <c r="P418" s="1"/>
      <c r="Q418" s="1"/>
      <c r="U418" s="1"/>
      <c r="AA418" s="1"/>
    </row>
    <row r="419" ht="15.75" customHeight="1">
      <c r="A419" s="1"/>
      <c r="B419" s="1"/>
      <c r="C419" s="1"/>
      <c r="D419" s="1"/>
      <c r="G419" s="113"/>
      <c r="H419" s="1"/>
      <c r="I419" s="1"/>
      <c r="J419" s="136"/>
      <c r="M419" s="1"/>
      <c r="P419" s="1"/>
      <c r="Q419" s="1"/>
      <c r="U419" s="1"/>
      <c r="AA419" s="1"/>
    </row>
    <row r="420" ht="15.75" customHeight="1">
      <c r="A420" s="1"/>
      <c r="B420" s="1"/>
      <c r="C420" s="1"/>
      <c r="D420" s="1"/>
      <c r="G420" s="113"/>
      <c r="H420" s="1"/>
      <c r="I420" s="1"/>
      <c r="J420" s="136"/>
      <c r="M420" s="1"/>
      <c r="P420" s="1"/>
      <c r="Q420" s="1"/>
      <c r="U420" s="1"/>
      <c r="AA420" s="1"/>
    </row>
    <row r="421" ht="15.75" customHeight="1">
      <c r="A421" s="1"/>
      <c r="B421" s="1"/>
      <c r="C421" s="1"/>
      <c r="D421" s="1"/>
      <c r="G421" s="113"/>
      <c r="H421" s="1"/>
      <c r="I421" s="1"/>
      <c r="J421" s="136"/>
      <c r="M421" s="1"/>
      <c r="P421" s="1"/>
      <c r="Q421" s="1"/>
      <c r="U421" s="1"/>
      <c r="AA421" s="1"/>
    </row>
    <row r="422" ht="15.75" customHeight="1">
      <c r="A422" s="1"/>
      <c r="B422" s="1"/>
      <c r="C422" s="1"/>
      <c r="D422" s="1"/>
      <c r="G422" s="113"/>
      <c r="H422" s="1"/>
      <c r="I422" s="1"/>
      <c r="J422" s="136"/>
      <c r="M422" s="1"/>
      <c r="P422" s="1"/>
      <c r="Q422" s="1"/>
      <c r="U422" s="1"/>
      <c r="AA422" s="1"/>
    </row>
    <row r="423" ht="15.75" customHeight="1">
      <c r="A423" s="1"/>
      <c r="B423" s="1"/>
      <c r="C423" s="1"/>
      <c r="D423" s="1"/>
      <c r="G423" s="113"/>
      <c r="H423" s="1"/>
      <c r="I423" s="1"/>
      <c r="J423" s="136"/>
      <c r="M423" s="1"/>
      <c r="P423" s="1"/>
      <c r="Q423" s="1"/>
      <c r="U423" s="1"/>
      <c r="AA423" s="1"/>
    </row>
    <row r="424" ht="15.75" customHeight="1">
      <c r="A424" s="1"/>
      <c r="B424" s="1"/>
      <c r="C424" s="1"/>
      <c r="D424" s="1"/>
      <c r="G424" s="113"/>
      <c r="H424" s="1"/>
      <c r="I424" s="1"/>
      <c r="J424" s="136"/>
      <c r="M424" s="1"/>
      <c r="P424" s="1"/>
      <c r="Q424" s="1"/>
      <c r="U424" s="1"/>
      <c r="AA424" s="1"/>
    </row>
    <row r="425" ht="15.75" customHeight="1">
      <c r="A425" s="1"/>
      <c r="B425" s="1"/>
      <c r="C425" s="1"/>
      <c r="D425" s="1"/>
      <c r="G425" s="113"/>
      <c r="H425" s="1"/>
      <c r="I425" s="1"/>
      <c r="J425" s="136"/>
      <c r="M425" s="1"/>
      <c r="P425" s="1"/>
      <c r="Q425" s="1"/>
      <c r="U425" s="1"/>
      <c r="AA425" s="1"/>
    </row>
    <row r="426" ht="15.75" customHeight="1">
      <c r="A426" s="1"/>
      <c r="B426" s="1"/>
      <c r="C426" s="1"/>
      <c r="D426" s="1"/>
      <c r="G426" s="113"/>
      <c r="H426" s="1"/>
      <c r="I426" s="1"/>
      <c r="J426" s="136"/>
      <c r="M426" s="1"/>
      <c r="P426" s="1"/>
      <c r="Q426" s="1"/>
      <c r="U426" s="1"/>
      <c r="AA426" s="1"/>
    </row>
    <row r="427" ht="15.75" customHeight="1">
      <c r="A427" s="1"/>
      <c r="B427" s="1"/>
      <c r="C427" s="1"/>
      <c r="D427" s="1"/>
      <c r="G427" s="113"/>
      <c r="H427" s="1"/>
      <c r="I427" s="1"/>
      <c r="J427" s="136"/>
      <c r="M427" s="1"/>
      <c r="P427" s="1"/>
      <c r="Q427" s="1"/>
      <c r="U427" s="1"/>
      <c r="AA427" s="1"/>
    </row>
    <row r="428" ht="15.75" customHeight="1">
      <c r="A428" s="1"/>
      <c r="B428" s="1"/>
      <c r="C428" s="1"/>
      <c r="D428" s="1"/>
      <c r="G428" s="113"/>
      <c r="H428" s="1"/>
      <c r="I428" s="1"/>
      <c r="J428" s="136"/>
      <c r="M428" s="1"/>
      <c r="P428" s="1"/>
      <c r="Q428" s="1"/>
      <c r="U428" s="1"/>
      <c r="AA428" s="1"/>
    </row>
    <row r="429" ht="15.75" customHeight="1">
      <c r="A429" s="1"/>
      <c r="B429" s="1"/>
      <c r="C429" s="1"/>
      <c r="D429" s="1"/>
      <c r="G429" s="113"/>
      <c r="H429" s="1"/>
      <c r="I429" s="1"/>
      <c r="J429" s="136"/>
      <c r="M429" s="1"/>
      <c r="P429" s="1"/>
      <c r="Q429" s="1"/>
      <c r="U429" s="1"/>
      <c r="AA429" s="1"/>
    </row>
    <row r="430" ht="15.75" customHeight="1">
      <c r="A430" s="1"/>
      <c r="B430" s="1"/>
      <c r="C430" s="1"/>
      <c r="D430" s="1"/>
      <c r="G430" s="113"/>
      <c r="H430" s="1"/>
      <c r="I430" s="1"/>
      <c r="J430" s="136"/>
      <c r="M430" s="1"/>
      <c r="P430" s="1"/>
      <c r="Q430" s="1"/>
      <c r="U430" s="1"/>
      <c r="AA430" s="1"/>
    </row>
    <row r="431" ht="15.75" customHeight="1">
      <c r="A431" s="1"/>
      <c r="B431" s="1"/>
      <c r="C431" s="1"/>
      <c r="D431" s="1"/>
      <c r="G431" s="113"/>
      <c r="H431" s="1"/>
      <c r="I431" s="1"/>
      <c r="J431" s="136"/>
      <c r="M431" s="1"/>
      <c r="P431" s="1"/>
      <c r="Q431" s="1"/>
      <c r="U431" s="1"/>
      <c r="AA431" s="1"/>
    </row>
    <row r="432" ht="15.75" customHeight="1">
      <c r="A432" s="1"/>
      <c r="B432" s="1"/>
      <c r="C432" s="1"/>
      <c r="D432" s="1"/>
      <c r="G432" s="113"/>
      <c r="H432" s="1"/>
      <c r="I432" s="1"/>
      <c r="J432" s="136"/>
      <c r="M432" s="1"/>
      <c r="P432" s="1"/>
      <c r="Q432" s="1"/>
      <c r="U432" s="1"/>
      <c r="AA432" s="1"/>
    </row>
    <row r="433" ht="15.75" customHeight="1">
      <c r="A433" s="1"/>
      <c r="B433" s="1"/>
      <c r="C433" s="1"/>
      <c r="D433" s="1"/>
      <c r="G433" s="113"/>
      <c r="H433" s="1"/>
      <c r="I433" s="1"/>
      <c r="J433" s="136"/>
      <c r="M433" s="1"/>
      <c r="P433" s="1"/>
      <c r="Q433" s="1"/>
      <c r="U433" s="1"/>
      <c r="AA433" s="1"/>
    </row>
    <row r="434" ht="15.75" customHeight="1">
      <c r="A434" s="1"/>
      <c r="B434" s="1"/>
      <c r="C434" s="1"/>
      <c r="D434" s="1"/>
      <c r="G434" s="113"/>
      <c r="H434" s="1"/>
      <c r="I434" s="1"/>
      <c r="J434" s="136"/>
      <c r="M434" s="1"/>
      <c r="P434" s="1"/>
      <c r="Q434" s="1"/>
      <c r="U434" s="1"/>
      <c r="AA434" s="1"/>
    </row>
    <row r="435" ht="15.75" customHeight="1">
      <c r="A435" s="1"/>
      <c r="B435" s="1"/>
      <c r="C435" s="1"/>
      <c r="D435" s="1"/>
      <c r="G435" s="113"/>
      <c r="H435" s="1"/>
      <c r="I435" s="1"/>
      <c r="J435" s="136"/>
      <c r="M435" s="1"/>
      <c r="P435" s="1"/>
      <c r="Q435" s="1"/>
      <c r="U435" s="1"/>
      <c r="AA435" s="1"/>
    </row>
    <row r="436" ht="15.75" customHeight="1">
      <c r="A436" s="1"/>
      <c r="B436" s="1"/>
      <c r="C436" s="1"/>
      <c r="D436" s="1"/>
      <c r="G436" s="113"/>
      <c r="H436" s="1"/>
      <c r="I436" s="1"/>
      <c r="J436" s="136"/>
      <c r="M436" s="1"/>
      <c r="P436" s="1"/>
      <c r="Q436" s="1"/>
      <c r="U436" s="1"/>
      <c r="AA436" s="1"/>
    </row>
    <row r="437" ht="15.75" customHeight="1">
      <c r="A437" s="1"/>
      <c r="B437" s="1"/>
      <c r="C437" s="1"/>
      <c r="D437" s="1"/>
      <c r="G437" s="113"/>
      <c r="H437" s="1"/>
      <c r="I437" s="1"/>
      <c r="J437" s="136"/>
      <c r="M437" s="1"/>
      <c r="P437" s="1"/>
      <c r="Q437" s="1"/>
      <c r="U437" s="1"/>
      <c r="AA437" s="1"/>
    </row>
    <row r="438" ht="15.75" customHeight="1">
      <c r="A438" s="1"/>
      <c r="B438" s="1"/>
      <c r="C438" s="1"/>
      <c r="D438" s="1"/>
      <c r="G438" s="113"/>
      <c r="H438" s="1"/>
      <c r="I438" s="1"/>
      <c r="J438" s="136"/>
      <c r="M438" s="1"/>
      <c r="P438" s="1"/>
      <c r="Q438" s="1"/>
      <c r="U438" s="1"/>
      <c r="AA438" s="1"/>
    </row>
    <row r="439" ht="15.75" customHeight="1">
      <c r="A439" s="1"/>
      <c r="B439" s="1"/>
      <c r="C439" s="1"/>
      <c r="D439" s="1"/>
      <c r="G439" s="113"/>
      <c r="H439" s="1"/>
      <c r="I439" s="1"/>
      <c r="J439" s="136"/>
      <c r="M439" s="1"/>
      <c r="P439" s="1"/>
      <c r="Q439" s="1"/>
      <c r="U439" s="1"/>
      <c r="AA439" s="1"/>
    </row>
    <row r="440" ht="15.75" customHeight="1">
      <c r="A440" s="1"/>
      <c r="B440" s="1"/>
      <c r="C440" s="1"/>
      <c r="D440" s="1"/>
      <c r="G440" s="113"/>
      <c r="H440" s="1"/>
      <c r="I440" s="1"/>
      <c r="J440" s="136"/>
      <c r="M440" s="1"/>
      <c r="P440" s="1"/>
      <c r="Q440" s="1"/>
      <c r="U440" s="1"/>
      <c r="AA440" s="1"/>
    </row>
    <row r="441" ht="15.75" customHeight="1">
      <c r="A441" s="1"/>
      <c r="B441" s="1"/>
      <c r="C441" s="1"/>
      <c r="D441" s="1"/>
      <c r="G441" s="113"/>
      <c r="H441" s="1"/>
      <c r="I441" s="1"/>
      <c r="J441" s="136"/>
      <c r="M441" s="1"/>
      <c r="P441" s="1"/>
      <c r="Q441" s="1"/>
      <c r="U441" s="1"/>
      <c r="AA441" s="1"/>
    </row>
    <row r="442" ht="15.75" customHeight="1">
      <c r="A442" s="1"/>
      <c r="B442" s="1"/>
      <c r="C442" s="1"/>
      <c r="D442" s="1"/>
      <c r="G442" s="113"/>
      <c r="H442" s="1"/>
      <c r="I442" s="1"/>
      <c r="J442" s="136"/>
      <c r="M442" s="1"/>
      <c r="P442" s="1"/>
      <c r="Q442" s="1"/>
      <c r="U442" s="1"/>
      <c r="AA442" s="1"/>
    </row>
    <row r="443" ht="15.75" customHeight="1">
      <c r="A443" s="1"/>
      <c r="B443" s="1"/>
      <c r="C443" s="1"/>
      <c r="D443" s="1"/>
      <c r="G443" s="113"/>
      <c r="H443" s="1"/>
      <c r="I443" s="1"/>
      <c r="J443" s="136"/>
      <c r="M443" s="1"/>
      <c r="P443" s="1"/>
      <c r="Q443" s="1"/>
      <c r="U443" s="1"/>
      <c r="AA443" s="1"/>
    </row>
    <row r="444" ht="15.75" customHeight="1">
      <c r="A444" s="1"/>
      <c r="B444" s="1"/>
      <c r="C444" s="1"/>
      <c r="D444" s="1"/>
      <c r="G444" s="113"/>
      <c r="H444" s="1"/>
      <c r="I444" s="1"/>
      <c r="J444" s="136"/>
      <c r="M444" s="1"/>
      <c r="P444" s="1"/>
      <c r="Q444" s="1"/>
      <c r="U444" s="1"/>
      <c r="AA444" s="1"/>
    </row>
    <row r="445" ht="15.75" customHeight="1">
      <c r="A445" s="1"/>
      <c r="B445" s="1"/>
      <c r="C445" s="1"/>
      <c r="D445" s="1"/>
      <c r="G445" s="113"/>
      <c r="H445" s="1"/>
      <c r="I445" s="1"/>
      <c r="J445" s="136"/>
      <c r="M445" s="1"/>
      <c r="P445" s="1"/>
      <c r="Q445" s="1"/>
      <c r="U445" s="1"/>
      <c r="AA445" s="1"/>
    </row>
    <row r="446" ht="15.75" customHeight="1">
      <c r="A446" s="1"/>
      <c r="B446" s="1"/>
      <c r="C446" s="1"/>
      <c r="D446" s="1"/>
      <c r="G446" s="113"/>
      <c r="H446" s="1"/>
      <c r="I446" s="1"/>
      <c r="J446" s="136"/>
      <c r="M446" s="1"/>
      <c r="P446" s="1"/>
      <c r="Q446" s="1"/>
      <c r="U446" s="1"/>
      <c r="AA446" s="1"/>
    </row>
    <row r="447" ht="15.75" customHeight="1">
      <c r="A447" s="1"/>
      <c r="B447" s="1"/>
      <c r="C447" s="1"/>
      <c r="D447" s="1"/>
      <c r="G447" s="113"/>
      <c r="H447" s="1"/>
      <c r="I447" s="1"/>
      <c r="J447" s="136"/>
      <c r="M447" s="1"/>
      <c r="P447" s="1"/>
      <c r="Q447" s="1"/>
      <c r="U447" s="1"/>
      <c r="AA447" s="1"/>
    </row>
    <row r="448" ht="15.75" customHeight="1">
      <c r="A448" s="1"/>
      <c r="B448" s="1"/>
      <c r="C448" s="1"/>
      <c r="D448" s="1"/>
      <c r="G448" s="113"/>
      <c r="H448" s="1"/>
      <c r="I448" s="1"/>
      <c r="J448" s="136"/>
      <c r="M448" s="1"/>
      <c r="P448" s="1"/>
      <c r="Q448" s="1"/>
      <c r="U448" s="1"/>
      <c r="AA448" s="1"/>
    </row>
    <row r="449" ht="15.75" customHeight="1">
      <c r="A449" s="1"/>
      <c r="B449" s="1"/>
      <c r="C449" s="1"/>
      <c r="D449" s="1"/>
      <c r="G449" s="113"/>
      <c r="H449" s="1"/>
      <c r="I449" s="1"/>
      <c r="J449" s="136"/>
      <c r="M449" s="1"/>
      <c r="P449" s="1"/>
      <c r="Q449" s="1"/>
      <c r="U449" s="1"/>
      <c r="AA449" s="1"/>
    </row>
    <row r="450" ht="15.75" customHeight="1">
      <c r="A450" s="1"/>
      <c r="B450" s="1"/>
      <c r="C450" s="1"/>
      <c r="D450" s="1"/>
      <c r="G450" s="113"/>
      <c r="H450" s="1"/>
      <c r="I450" s="1"/>
      <c r="J450" s="136"/>
      <c r="M450" s="1"/>
      <c r="P450" s="1"/>
      <c r="Q450" s="1"/>
      <c r="U450" s="1"/>
      <c r="AA450" s="1"/>
    </row>
    <row r="451" ht="15.75" customHeight="1">
      <c r="A451" s="1"/>
      <c r="B451" s="1"/>
      <c r="C451" s="1"/>
      <c r="D451" s="1"/>
      <c r="G451" s="113"/>
      <c r="H451" s="1"/>
      <c r="I451" s="1"/>
      <c r="J451" s="136"/>
      <c r="M451" s="1"/>
      <c r="P451" s="1"/>
      <c r="Q451" s="1"/>
      <c r="U451" s="1"/>
      <c r="AA451" s="1"/>
    </row>
    <row r="452" ht="15.75" customHeight="1">
      <c r="A452" s="1"/>
      <c r="B452" s="1"/>
      <c r="C452" s="1"/>
      <c r="D452" s="1"/>
      <c r="G452" s="113"/>
      <c r="H452" s="1"/>
      <c r="I452" s="1"/>
      <c r="J452" s="136"/>
      <c r="M452" s="1"/>
      <c r="P452" s="1"/>
      <c r="Q452" s="1"/>
      <c r="U452" s="1"/>
      <c r="AA452" s="1"/>
    </row>
    <row r="453" ht="15.75" customHeight="1">
      <c r="A453" s="1"/>
      <c r="B453" s="1"/>
      <c r="C453" s="1"/>
      <c r="D453" s="1"/>
      <c r="G453" s="113"/>
      <c r="H453" s="1"/>
      <c r="I453" s="1"/>
      <c r="J453" s="136"/>
      <c r="M453" s="1"/>
      <c r="P453" s="1"/>
      <c r="Q453" s="1"/>
      <c r="U453" s="1"/>
      <c r="AA453" s="1"/>
    </row>
    <row r="454" ht="15.75" customHeight="1">
      <c r="A454" s="1"/>
      <c r="B454" s="1"/>
      <c r="C454" s="1"/>
      <c r="D454" s="1"/>
      <c r="G454" s="113"/>
      <c r="H454" s="1"/>
      <c r="I454" s="1"/>
      <c r="J454" s="136"/>
      <c r="M454" s="1"/>
      <c r="P454" s="1"/>
      <c r="Q454" s="1"/>
      <c r="U454" s="1"/>
      <c r="AA454" s="1"/>
    </row>
    <row r="455" ht="15.75" customHeight="1">
      <c r="A455" s="1"/>
      <c r="B455" s="1"/>
      <c r="C455" s="1"/>
      <c r="D455" s="1"/>
      <c r="G455" s="113"/>
      <c r="H455" s="1"/>
      <c r="I455" s="1"/>
      <c r="J455" s="136"/>
      <c r="M455" s="1"/>
      <c r="P455" s="1"/>
      <c r="Q455" s="1"/>
      <c r="U455" s="1"/>
      <c r="AA455" s="1"/>
    </row>
    <row r="456" ht="15.75" customHeight="1">
      <c r="A456" s="1"/>
      <c r="B456" s="1"/>
      <c r="C456" s="1"/>
      <c r="D456" s="1"/>
      <c r="G456" s="113"/>
      <c r="H456" s="1"/>
      <c r="I456" s="1"/>
      <c r="J456" s="136"/>
      <c r="M456" s="1"/>
      <c r="P456" s="1"/>
      <c r="Q456" s="1"/>
      <c r="U456" s="1"/>
      <c r="AA456" s="1"/>
    </row>
    <row r="457" ht="15.75" customHeight="1">
      <c r="A457" s="1"/>
      <c r="B457" s="1"/>
      <c r="C457" s="1"/>
      <c r="D457" s="1"/>
      <c r="G457" s="113"/>
      <c r="H457" s="1"/>
      <c r="I457" s="1"/>
      <c r="J457" s="136"/>
      <c r="M457" s="1"/>
      <c r="P457" s="1"/>
      <c r="Q457" s="1"/>
      <c r="U457" s="1"/>
      <c r="AA457" s="1"/>
    </row>
    <row r="458" ht="15.75" customHeight="1">
      <c r="A458" s="1"/>
      <c r="B458" s="1"/>
      <c r="C458" s="1"/>
      <c r="D458" s="1"/>
      <c r="G458" s="113"/>
      <c r="H458" s="1"/>
      <c r="I458" s="1"/>
      <c r="J458" s="136"/>
      <c r="M458" s="1"/>
      <c r="P458" s="1"/>
      <c r="Q458" s="1"/>
      <c r="U458" s="1"/>
      <c r="AA458" s="1"/>
    </row>
    <row r="459" ht="15.75" customHeight="1">
      <c r="A459" s="1"/>
      <c r="B459" s="1"/>
      <c r="C459" s="1"/>
      <c r="D459" s="1"/>
      <c r="G459" s="113"/>
      <c r="H459" s="1"/>
      <c r="I459" s="1"/>
      <c r="J459" s="136"/>
      <c r="M459" s="1"/>
      <c r="P459" s="1"/>
      <c r="Q459" s="1"/>
      <c r="U459" s="1"/>
      <c r="AA459" s="1"/>
    </row>
    <row r="460" ht="15.75" customHeight="1">
      <c r="A460" s="1"/>
      <c r="B460" s="1"/>
      <c r="C460" s="1"/>
      <c r="D460" s="1"/>
      <c r="G460" s="113"/>
      <c r="H460" s="1"/>
      <c r="I460" s="1"/>
      <c r="J460" s="136"/>
      <c r="M460" s="1"/>
      <c r="P460" s="1"/>
      <c r="Q460" s="1"/>
      <c r="U460" s="1"/>
      <c r="AA460" s="1"/>
    </row>
    <row r="461" ht="15.75" customHeight="1">
      <c r="A461" s="1"/>
      <c r="B461" s="1"/>
      <c r="C461" s="1"/>
      <c r="D461" s="1"/>
      <c r="G461" s="113"/>
      <c r="H461" s="1"/>
      <c r="I461" s="1"/>
      <c r="J461" s="136"/>
      <c r="M461" s="1"/>
      <c r="P461" s="1"/>
      <c r="Q461" s="1"/>
      <c r="U461" s="1"/>
      <c r="AA461" s="1"/>
    </row>
    <row r="462" ht="15.75" customHeight="1">
      <c r="A462" s="1"/>
      <c r="B462" s="1"/>
      <c r="C462" s="1"/>
      <c r="D462" s="1"/>
      <c r="G462" s="113"/>
      <c r="H462" s="1"/>
      <c r="I462" s="1"/>
      <c r="J462" s="136"/>
      <c r="M462" s="1"/>
      <c r="P462" s="1"/>
      <c r="Q462" s="1"/>
      <c r="U462" s="1"/>
      <c r="AA462" s="1"/>
    </row>
    <row r="463" ht="15.75" customHeight="1">
      <c r="A463" s="1"/>
      <c r="B463" s="1"/>
      <c r="C463" s="1"/>
      <c r="D463" s="1"/>
      <c r="G463" s="113"/>
      <c r="H463" s="1"/>
      <c r="I463" s="1"/>
      <c r="J463" s="136"/>
      <c r="M463" s="1"/>
      <c r="P463" s="1"/>
      <c r="Q463" s="1"/>
      <c r="U463" s="1"/>
      <c r="AA463" s="1"/>
    </row>
    <row r="464" ht="15.75" customHeight="1">
      <c r="A464" s="1"/>
      <c r="B464" s="1"/>
      <c r="C464" s="1"/>
      <c r="D464" s="1"/>
      <c r="G464" s="113"/>
      <c r="H464" s="1"/>
      <c r="I464" s="1"/>
      <c r="J464" s="136"/>
      <c r="M464" s="1"/>
      <c r="P464" s="1"/>
      <c r="Q464" s="1"/>
      <c r="U464" s="1"/>
      <c r="AA464" s="1"/>
    </row>
    <row r="465" ht="15.75" customHeight="1">
      <c r="A465" s="1"/>
      <c r="B465" s="1"/>
      <c r="C465" s="1"/>
      <c r="D465" s="1"/>
      <c r="G465" s="113"/>
      <c r="H465" s="1"/>
      <c r="I465" s="1"/>
      <c r="J465" s="136"/>
      <c r="M465" s="1"/>
      <c r="P465" s="1"/>
      <c r="Q465" s="1"/>
      <c r="U465" s="1"/>
      <c r="AA465" s="1"/>
    </row>
    <row r="466" ht="15.75" customHeight="1">
      <c r="A466" s="1"/>
      <c r="B466" s="1"/>
      <c r="C466" s="1"/>
      <c r="D466" s="1"/>
      <c r="G466" s="113"/>
      <c r="H466" s="1"/>
      <c r="I466" s="1"/>
      <c r="J466" s="136"/>
      <c r="M466" s="1"/>
      <c r="P466" s="1"/>
      <c r="Q466" s="1"/>
      <c r="U466" s="1"/>
      <c r="AA466" s="1"/>
    </row>
    <row r="467" ht="15.75" customHeight="1">
      <c r="A467" s="1"/>
      <c r="B467" s="1"/>
      <c r="C467" s="1"/>
      <c r="D467" s="1"/>
      <c r="G467" s="113"/>
      <c r="H467" s="1"/>
      <c r="I467" s="1"/>
      <c r="J467" s="136"/>
      <c r="M467" s="1"/>
      <c r="P467" s="1"/>
      <c r="Q467" s="1"/>
      <c r="U467" s="1"/>
      <c r="AA467" s="1"/>
    </row>
    <row r="468" ht="15.75" customHeight="1">
      <c r="A468" s="1"/>
      <c r="B468" s="1"/>
      <c r="C468" s="1"/>
      <c r="D468" s="1"/>
      <c r="G468" s="113"/>
      <c r="H468" s="1"/>
      <c r="I468" s="1"/>
      <c r="J468" s="136"/>
      <c r="M468" s="1"/>
      <c r="P468" s="1"/>
      <c r="Q468" s="1"/>
      <c r="U468" s="1"/>
      <c r="AA468" s="1"/>
    </row>
    <row r="469" ht="15.75" customHeight="1">
      <c r="A469" s="1"/>
      <c r="B469" s="1"/>
      <c r="C469" s="1"/>
      <c r="D469" s="1"/>
      <c r="G469" s="113"/>
      <c r="H469" s="1"/>
      <c r="I469" s="1"/>
      <c r="J469" s="136"/>
      <c r="M469" s="1"/>
      <c r="P469" s="1"/>
      <c r="Q469" s="1"/>
      <c r="U469" s="1"/>
      <c r="AA469" s="1"/>
    </row>
    <row r="470" ht="15.75" customHeight="1">
      <c r="A470" s="1"/>
      <c r="B470" s="1"/>
      <c r="C470" s="1"/>
      <c r="D470" s="1"/>
      <c r="G470" s="113"/>
      <c r="H470" s="1"/>
      <c r="I470" s="1"/>
      <c r="J470" s="136"/>
      <c r="M470" s="1"/>
      <c r="P470" s="1"/>
      <c r="Q470" s="1"/>
      <c r="U470" s="1"/>
      <c r="AA470" s="1"/>
    </row>
    <row r="471" ht="15.75" customHeight="1">
      <c r="A471" s="1"/>
      <c r="B471" s="1"/>
      <c r="C471" s="1"/>
      <c r="D471" s="1"/>
      <c r="G471" s="113"/>
      <c r="H471" s="1"/>
      <c r="I471" s="1"/>
      <c r="J471" s="136"/>
      <c r="M471" s="1"/>
      <c r="P471" s="1"/>
      <c r="Q471" s="1"/>
      <c r="U471" s="1"/>
      <c r="AA471" s="1"/>
    </row>
    <row r="472" ht="15.75" customHeight="1">
      <c r="A472" s="1"/>
      <c r="B472" s="1"/>
      <c r="C472" s="1"/>
      <c r="D472" s="1"/>
      <c r="G472" s="113"/>
      <c r="H472" s="1"/>
      <c r="I472" s="1"/>
      <c r="J472" s="136"/>
      <c r="M472" s="1"/>
      <c r="P472" s="1"/>
      <c r="Q472" s="1"/>
      <c r="U472" s="1"/>
      <c r="AA472" s="1"/>
    </row>
    <row r="473" ht="15.75" customHeight="1">
      <c r="A473" s="1"/>
      <c r="B473" s="1"/>
      <c r="C473" s="1"/>
      <c r="D473" s="1"/>
      <c r="G473" s="113"/>
      <c r="H473" s="1"/>
      <c r="I473" s="1"/>
      <c r="J473" s="136"/>
      <c r="M473" s="1"/>
      <c r="P473" s="1"/>
      <c r="Q473" s="1"/>
      <c r="U473" s="1"/>
      <c r="AA473" s="1"/>
    </row>
    <row r="474" ht="15.75" customHeight="1">
      <c r="A474" s="1"/>
      <c r="B474" s="1"/>
      <c r="C474" s="1"/>
      <c r="D474" s="1"/>
      <c r="G474" s="113"/>
      <c r="H474" s="1"/>
      <c r="I474" s="1"/>
      <c r="J474" s="136"/>
      <c r="M474" s="1"/>
      <c r="P474" s="1"/>
      <c r="Q474" s="1"/>
      <c r="U474" s="1"/>
      <c r="AA474" s="1"/>
    </row>
    <row r="475" ht="15.75" customHeight="1">
      <c r="A475" s="1"/>
      <c r="B475" s="1"/>
      <c r="C475" s="1"/>
      <c r="D475" s="1"/>
      <c r="G475" s="113"/>
      <c r="H475" s="1"/>
      <c r="I475" s="1"/>
      <c r="J475" s="136"/>
      <c r="M475" s="1"/>
      <c r="P475" s="1"/>
      <c r="Q475" s="1"/>
      <c r="U475" s="1"/>
      <c r="AA475" s="1"/>
    </row>
    <row r="476" ht="15.75" customHeight="1">
      <c r="A476" s="1"/>
      <c r="B476" s="1"/>
      <c r="C476" s="1"/>
      <c r="D476" s="1"/>
      <c r="G476" s="113"/>
      <c r="H476" s="1"/>
      <c r="I476" s="1"/>
      <c r="J476" s="136"/>
      <c r="M476" s="1"/>
      <c r="P476" s="1"/>
      <c r="Q476" s="1"/>
      <c r="U476" s="1"/>
      <c r="AA476" s="1"/>
    </row>
    <row r="477" ht="15.75" customHeight="1">
      <c r="A477" s="1"/>
      <c r="B477" s="1"/>
      <c r="C477" s="1"/>
      <c r="D477" s="1"/>
      <c r="G477" s="113"/>
      <c r="H477" s="1"/>
      <c r="I477" s="1"/>
      <c r="J477" s="136"/>
      <c r="M477" s="1"/>
      <c r="P477" s="1"/>
      <c r="Q477" s="1"/>
      <c r="U477" s="1"/>
      <c r="AA477" s="1"/>
    </row>
    <row r="478" ht="15.75" customHeight="1">
      <c r="A478" s="1"/>
      <c r="B478" s="1"/>
      <c r="C478" s="1"/>
      <c r="D478" s="1"/>
      <c r="G478" s="113"/>
      <c r="H478" s="1"/>
      <c r="I478" s="1"/>
      <c r="J478" s="136"/>
      <c r="M478" s="1"/>
      <c r="P478" s="1"/>
      <c r="Q478" s="1"/>
      <c r="U478" s="1"/>
      <c r="AA478" s="1"/>
    </row>
    <row r="479" ht="15.75" customHeight="1">
      <c r="A479" s="1"/>
      <c r="B479" s="1"/>
      <c r="C479" s="1"/>
      <c r="D479" s="1"/>
      <c r="G479" s="113"/>
      <c r="H479" s="1"/>
      <c r="I479" s="1"/>
      <c r="J479" s="136"/>
      <c r="M479" s="1"/>
      <c r="P479" s="1"/>
      <c r="Q479" s="1"/>
      <c r="U479" s="1"/>
      <c r="AA479" s="1"/>
    </row>
    <row r="480" ht="15.75" customHeight="1">
      <c r="A480" s="1"/>
      <c r="B480" s="1"/>
      <c r="C480" s="1"/>
      <c r="D480" s="1"/>
      <c r="G480" s="113"/>
      <c r="H480" s="1"/>
      <c r="I480" s="1"/>
      <c r="J480" s="136"/>
      <c r="M480" s="1"/>
      <c r="P480" s="1"/>
      <c r="Q480" s="1"/>
      <c r="U480" s="1"/>
      <c r="AA480" s="1"/>
    </row>
    <row r="481" ht="15.75" customHeight="1">
      <c r="A481" s="1"/>
      <c r="B481" s="1"/>
      <c r="C481" s="1"/>
      <c r="D481" s="1"/>
      <c r="G481" s="113"/>
      <c r="H481" s="1"/>
      <c r="I481" s="1"/>
      <c r="J481" s="136"/>
      <c r="M481" s="1"/>
      <c r="P481" s="1"/>
      <c r="Q481" s="1"/>
      <c r="U481" s="1"/>
      <c r="AA481" s="1"/>
    </row>
    <row r="482" ht="15.75" customHeight="1">
      <c r="A482" s="1"/>
      <c r="B482" s="1"/>
      <c r="C482" s="1"/>
      <c r="D482" s="1"/>
      <c r="G482" s="113"/>
      <c r="H482" s="1"/>
      <c r="I482" s="1"/>
      <c r="J482" s="136"/>
      <c r="M482" s="1"/>
      <c r="P482" s="1"/>
      <c r="Q482" s="1"/>
      <c r="U482" s="1"/>
      <c r="AA482" s="1"/>
    </row>
    <row r="483" ht="15.75" customHeight="1">
      <c r="A483" s="1"/>
      <c r="B483" s="1"/>
      <c r="C483" s="1"/>
      <c r="D483" s="1"/>
      <c r="G483" s="113"/>
      <c r="H483" s="1"/>
      <c r="I483" s="1"/>
      <c r="J483" s="136"/>
      <c r="M483" s="1"/>
      <c r="P483" s="1"/>
      <c r="Q483" s="1"/>
      <c r="U483" s="1"/>
      <c r="AA483" s="1"/>
    </row>
    <row r="484" ht="15.75" customHeight="1">
      <c r="A484" s="1"/>
      <c r="B484" s="1"/>
      <c r="C484" s="1"/>
      <c r="D484" s="1"/>
      <c r="G484" s="113"/>
      <c r="H484" s="1"/>
      <c r="I484" s="1"/>
      <c r="J484" s="136"/>
      <c r="M484" s="1"/>
      <c r="P484" s="1"/>
      <c r="Q484" s="1"/>
      <c r="U484" s="1"/>
      <c r="AA484" s="1"/>
    </row>
    <row r="485" ht="15.75" customHeight="1">
      <c r="A485" s="1"/>
      <c r="B485" s="1"/>
      <c r="C485" s="1"/>
      <c r="D485" s="1"/>
      <c r="G485" s="113"/>
      <c r="H485" s="1"/>
      <c r="I485" s="1"/>
      <c r="J485" s="136"/>
      <c r="M485" s="1"/>
      <c r="P485" s="1"/>
      <c r="Q485" s="1"/>
      <c r="U485" s="1"/>
      <c r="AA485" s="1"/>
    </row>
    <row r="486" ht="15.75" customHeight="1">
      <c r="A486" s="1"/>
      <c r="B486" s="1"/>
      <c r="C486" s="1"/>
      <c r="D486" s="1"/>
      <c r="G486" s="113"/>
      <c r="H486" s="1"/>
      <c r="I486" s="1"/>
      <c r="J486" s="136"/>
      <c r="M486" s="1"/>
      <c r="P486" s="1"/>
      <c r="Q486" s="1"/>
      <c r="U486" s="1"/>
      <c r="AA486" s="1"/>
    </row>
    <row r="487" ht="15.75" customHeight="1">
      <c r="A487" s="1"/>
      <c r="B487" s="1"/>
      <c r="C487" s="1"/>
      <c r="D487" s="1"/>
      <c r="G487" s="113"/>
      <c r="H487" s="1"/>
      <c r="I487" s="1"/>
      <c r="J487" s="136"/>
      <c r="M487" s="1"/>
      <c r="P487" s="1"/>
      <c r="Q487" s="1"/>
      <c r="U487" s="1"/>
      <c r="AA487" s="1"/>
    </row>
    <row r="488" ht="15.75" customHeight="1">
      <c r="A488" s="1"/>
      <c r="B488" s="1"/>
      <c r="C488" s="1"/>
      <c r="D488" s="1"/>
      <c r="G488" s="113"/>
      <c r="H488" s="1"/>
      <c r="I488" s="1"/>
      <c r="J488" s="136"/>
      <c r="M488" s="1"/>
      <c r="P488" s="1"/>
      <c r="Q488" s="1"/>
      <c r="U488" s="1"/>
      <c r="AA488" s="1"/>
    </row>
    <row r="489" ht="15.75" customHeight="1">
      <c r="A489" s="1"/>
      <c r="B489" s="1"/>
      <c r="C489" s="1"/>
      <c r="D489" s="1"/>
      <c r="G489" s="113"/>
      <c r="H489" s="1"/>
      <c r="I489" s="1"/>
      <c r="J489" s="136"/>
      <c r="M489" s="1"/>
      <c r="P489" s="1"/>
      <c r="Q489" s="1"/>
      <c r="U489" s="1"/>
      <c r="AA489" s="1"/>
    </row>
    <row r="490" ht="15.75" customHeight="1">
      <c r="A490" s="1"/>
      <c r="B490" s="1"/>
      <c r="C490" s="1"/>
      <c r="D490" s="1"/>
      <c r="G490" s="113"/>
      <c r="H490" s="1"/>
      <c r="I490" s="1"/>
      <c r="J490" s="136"/>
      <c r="M490" s="1"/>
      <c r="P490" s="1"/>
      <c r="Q490" s="1"/>
      <c r="U490" s="1"/>
      <c r="AA490" s="1"/>
    </row>
    <row r="491" ht="15.75" customHeight="1">
      <c r="A491" s="1"/>
      <c r="B491" s="1"/>
      <c r="C491" s="1"/>
      <c r="D491" s="1"/>
      <c r="G491" s="113"/>
      <c r="H491" s="1"/>
      <c r="I491" s="1"/>
      <c r="J491" s="136"/>
      <c r="M491" s="1"/>
      <c r="P491" s="1"/>
      <c r="Q491" s="1"/>
      <c r="U491" s="1"/>
      <c r="AA491" s="1"/>
    </row>
    <row r="492" ht="15.75" customHeight="1">
      <c r="A492" s="1"/>
      <c r="B492" s="1"/>
      <c r="C492" s="1"/>
      <c r="D492" s="1"/>
      <c r="G492" s="113"/>
      <c r="H492" s="1"/>
      <c r="I492" s="1"/>
      <c r="J492" s="136"/>
      <c r="M492" s="1"/>
      <c r="P492" s="1"/>
      <c r="Q492" s="1"/>
      <c r="U492" s="1"/>
      <c r="AA492" s="1"/>
    </row>
    <row r="493" ht="15.75" customHeight="1">
      <c r="A493" s="1"/>
      <c r="B493" s="1"/>
      <c r="C493" s="1"/>
      <c r="D493" s="1"/>
      <c r="G493" s="113"/>
      <c r="H493" s="1"/>
      <c r="I493" s="1"/>
      <c r="J493" s="136"/>
      <c r="M493" s="1"/>
      <c r="P493" s="1"/>
      <c r="Q493" s="1"/>
      <c r="U493" s="1"/>
      <c r="AA493" s="1"/>
    </row>
    <row r="494" ht="15.75" customHeight="1">
      <c r="A494" s="1"/>
      <c r="B494" s="1"/>
      <c r="C494" s="1"/>
      <c r="D494" s="1"/>
      <c r="G494" s="113"/>
      <c r="H494" s="1"/>
      <c r="I494" s="1"/>
      <c r="J494" s="136"/>
      <c r="M494" s="1"/>
      <c r="P494" s="1"/>
      <c r="Q494" s="1"/>
      <c r="U494" s="1"/>
      <c r="AA494" s="1"/>
    </row>
    <row r="495" ht="15.75" customHeight="1">
      <c r="A495" s="1"/>
      <c r="B495" s="1"/>
      <c r="C495" s="1"/>
      <c r="D495" s="1"/>
      <c r="G495" s="113"/>
      <c r="H495" s="1"/>
      <c r="I495" s="1"/>
      <c r="J495" s="136"/>
      <c r="M495" s="1"/>
      <c r="P495" s="1"/>
      <c r="Q495" s="1"/>
      <c r="U495" s="1"/>
      <c r="AA495" s="1"/>
    </row>
    <row r="496" ht="15.75" customHeight="1">
      <c r="A496" s="1"/>
      <c r="B496" s="1"/>
      <c r="C496" s="1"/>
      <c r="D496" s="1"/>
      <c r="G496" s="113"/>
      <c r="H496" s="1"/>
      <c r="I496" s="1"/>
      <c r="J496" s="136"/>
      <c r="M496" s="1"/>
      <c r="P496" s="1"/>
      <c r="Q496" s="1"/>
      <c r="U496" s="1"/>
      <c r="AA496" s="1"/>
    </row>
    <row r="497" ht="15.75" customHeight="1">
      <c r="A497" s="1"/>
      <c r="B497" s="1"/>
      <c r="C497" s="1"/>
      <c r="D497" s="1"/>
      <c r="G497" s="113"/>
      <c r="H497" s="1"/>
      <c r="I497" s="1"/>
      <c r="J497" s="136"/>
      <c r="M497" s="1"/>
      <c r="P497" s="1"/>
      <c r="Q497" s="1"/>
      <c r="U497" s="1"/>
      <c r="AA497" s="1"/>
    </row>
    <row r="498" ht="15.75" customHeight="1">
      <c r="A498" s="1"/>
      <c r="B498" s="1"/>
      <c r="C498" s="1"/>
      <c r="D498" s="1"/>
      <c r="G498" s="113"/>
      <c r="H498" s="1"/>
      <c r="I498" s="1"/>
      <c r="J498" s="136"/>
      <c r="M498" s="1"/>
      <c r="P498" s="1"/>
      <c r="Q498" s="1"/>
      <c r="U498" s="1"/>
      <c r="AA498" s="1"/>
    </row>
    <row r="499" ht="15.75" customHeight="1">
      <c r="A499" s="1"/>
      <c r="B499" s="1"/>
      <c r="C499" s="1"/>
      <c r="D499" s="1"/>
      <c r="G499" s="113"/>
      <c r="H499" s="1"/>
      <c r="I499" s="1"/>
      <c r="J499" s="136"/>
      <c r="M499" s="1"/>
      <c r="P499" s="1"/>
      <c r="Q499" s="1"/>
      <c r="U499" s="1"/>
      <c r="AA499" s="1"/>
    </row>
    <row r="500" ht="15.75" customHeight="1">
      <c r="A500" s="1"/>
      <c r="B500" s="1"/>
      <c r="C500" s="1"/>
      <c r="D500" s="1"/>
      <c r="G500" s="113"/>
      <c r="H500" s="1"/>
      <c r="I500" s="1"/>
      <c r="J500" s="136"/>
      <c r="M500" s="1"/>
      <c r="P500" s="1"/>
      <c r="Q500" s="1"/>
      <c r="U500" s="1"/>
      <c r="AA500" s="1"/>
    </row>
    <row r="501" ht="15.75" customHeight="1">
      <c r="A501" s="1"/>
      <c r="B501" s="1"/>
      <c r="C501" s="1"/>
      <c r="D501" s="1"/>
      <c r="G501" s="113"/>
      <c r="H501" s="1"/>
      <c r="I501" s="1"/>
      <c r="J501" s="136"/>
      <c r="M501" s="1"/>
      <c r="P501" s="1"/>
      <c r="Q501" s="1"/>
      <c r="U501" s="1"/>
      <c r="AA501" s="1"/>
    </row>
    <row r="502" ht="15.75" customHeight="1">
      <c r="A502" s="1"/>
      <c r="B502" s="1"/>
      <c r="C502" s="1"/>
      <c r="D502" s="1"/>
      <c r="G502" s="113"/>
      <c r="H502" s="1"/>
      <c r="I502" s="1"/>
      <c r="J502" s="136"/>
      <c r="M502" s="1"/>
      <c r="P502" s="1"/>
      <c r="Q502" s="1"/>
      <c r="U502" s="1"/>
      <c r="AA502" s="1"/>
    </row>
    <row r="503" ht="15.75" customHeight="1">
      <c r="A503" s="1"/>
      <c r="B503" s="1"/>
      <c r="C503" s="1"/>
      <c r="D503" s="1"/>
      <c r="G503" s="113"/>
      <c r="H503" s="1"/>
      <c r="I503" s="1"/>
      <c r="J503" s="136"/>
      <c r="M503" s="1"/>
      <c r="P503" s="1"/>
      <c r="Q503" s="1"/>
      <c r="U503" s="1"/>
      <c r="AA503" s="1"/>
    </row>
    <row r="504" ht="15.75" customHeight="1">
      <c r="A504" s="1"/>
      <c r="B504" s="1"/>
      <c r="C504" s="1"/>
      <c r="D504" s="1"/>
      <c r="G504" s="113"/>
      <c r="H504" s="1"/>
      <c r="I504" s="1"/>
      <c r="J504" s="136"/>
      <c r="M504" s="1"/>
      <c r="P504" s="1"/>
      <c r="Q504" s="1"/>
      <c r="U504" s="1"/>
      <c r="AA504" s="1"/>
    </row>
    <row r="505" ht="15.75" customHeight="1">
      <c r="A505" s="1"/>
      <c r="B505" s="1"/>
      <c r="C505" s="1"/>
      <c r="D505" s="1"/>
      <c r="G505" s="113"/>
      <c r="H505" s="1"/>
      <c r="I505" s="1"/>
      <c r="J505" s="136"/>
      <c r="M505" s="1"/>
      <c r="P505" s="1"/>
      <c r="Q505" s="1"/>
      <c r="U505" s="1"/>
      <c r="AA505" s="1"/>
    </row>
    <row r="506" ht="15.75" customHeight="1">
      <c r="A506" s="1"/>
      <c r="B506" s="1"/>
      <c r="C506" s="1"/>
      <c r="D506" s="1"/>
      <c r="G506" s="113"/>
      <c r="H506" s="1"/>
      <c r="I506" s="1"/>
      <c r="J506" s="136"/>
      <c r="M506" s="1"/>
      <c r="P506" s="1"/>
      <c r="Q506" s="1"/>
      <c r="U506" s="1"/>
      <c r="AA506" s="1"/>
    </row>
    <row r="507" ht="15.75" customHeight="1">
      <c r="A507" s="1"/>
      <c r="B507" s="1"/>
      <c r="C507" s="1"/>
      <c r="D507" s="1"/>
      <c r="G507" s="113"/>
      <c r="H507" s="1"/>
      <c r="I507" s="1"/>
      <c r="J507" s="136"/>
      <c r="M507" s="1"/>
      <c r="P507" s="1"/>
      <c r="Q507" s="1"/>
      <c r="U507" s="1"/>
      <c r="AA507" s="1"/>
    </row>
    <row r="508" ht="15.75" customHeight="1">
      <c r="A508" s="1"/>
      <c r="B508" s="1"/>
      <c r="C508" s="1"/>
      <c r="D508" s="1"/>
      <c r="G508" s="113"/>
      <c r="H508" s="1"/>
      <c r="I508" s="1"/>
      <c r="J508" s="136"/>
      <c r="M508" s="1"/>
      <c r="P508" s="1"/>
      <c r="Q508" s="1"/>
      <c r="U508" s="1"/>
      <c r="AA508" s="1"/>
    </row>
    <row r="509" ht="15.75" customHeight="1">
      <c r="A509" s="1"/>
      <c r="B509" s="1"/>
      <c r="C509" s="1"/>
      <c r="D509" s="1"/>
      <c r="G509" s="113"/>
      <c r="H509" s="1"/>
      <c r="I509" s="1"/>
      <c r="J509" s="136"/>
      <c r="M509" s="1"/>
      <c r="P509" s="1"/>
      <c r="Q509" s="1"/>
      <c r="U509" s="1"/>
      <c r="AA509" s="1"/>
    </row>
    <row r="510" ht="15.75" customHeight="1">
      <c r="A510" s="1"/>
      <c r="B510" s="1"/>
      <c r="C510" s="1"/>
      <c r="D510" s="1"/>
      <c r="G510" s="113"/>
      <c r="H510" s="1"/>
      <c r="I510" s="1"/>
      <c r="J510" s="136"/>
      <c r="M510" s="1"/>
      <c r="P510" s="1"/>
      <c r="Q510" s="1"/>
      <c r="U510" s="1"/>
      <c r="AA510" s="1"/>
    </row>
    <row r="511" ht="15.75" customHeight="1">
      <c r="A511" s="1"/>
      <c r="B511" s="1"/>
      <c r="C511" s="1"/>
      <c r="D511" s="1"/>
      <c r="G511" s="113"/>
      <c r="H511" s="1"/>
      <c r="I511" s="1"/>
      <c r="J511" s="136"/>
      <c r="M511" s="1"/>
      <c r="P511" s="1"/>
      <c r="Q511" s="1"/>
      <c r="U511" s="1"/>
      <c r="AA511" s="1"/>
    </row>
    <row r="512" ht="15.75" customHeight="1">
      <c r="A512" s="1"/>
      <c r="B512" s="1"/>
      <c r="C512" s="1"/>
      <c r="D512" s="1"/>
      <c r="G512" s="113"/>
      <c r="H512" s="1"/>
      <c r="I512" s="1"/>
      <c r="J512" s="136"/>
      <c r="M512" s="1"/>
      <c r="P512" s="1"/>
      <c r="Q512" s="1"/>
      <c r="U512" s="1"/>
      <c r="AA512" s="1"/>
    </row>
    <row r="513" ht="15.75" customHeight="1">
      <c r="A513" s="1"/>
      <c r="B513" s="1"/>
      <c r="C513" s="1"/>
      <c r="D513" s="1"/>
      <c r="G513" s="113"/>
      <c r="H513" s="1"/>
      <c r="I513" s="1"/>
      <c r="J513" s="136"/>
      <c r="M513" s="1"/>
      <c r="P513" s="1"/>
      <c r="Q513" s="1"/>
      <c r="U513" s="1"/>
      <c r="AA513" s="1"/>
    </row>
    <row r="514" ht="15.75" customHeight="1">
      <c r="A514" s="1"/>
      <c r="B514" s="1"/>
      <c r="C514" s="1"/>
      <c r="D514" s="1"/>
      <c r="G514" s="113"/>
      <c r="H514" s="1"/>
      <c r="I514" s="1"/>
      <c r="J514" s="136"/>
      <c r="M514" s="1"/>
      <c r="P514" s="1"/>
      <c r="Q514" s="1"/>
      <c r="U514" s="1"/>
      <c r="AA514" s="1"/>
    </row>
    <row r="515" ht="15.75" customHeight="1">
      <c r="A515" s="1"/>
      <c r="B515" s="1"/>
      <c r="C515" s="1"/>
      <c r="D515" s="1"/>
      <c r="G515" s="113"/>
      <c r="H515" s="1"/>
      <c r="I515" s="1"/>
      <c r="J515" s="136"/>
      <c r="M515" s="1"/>
      <c r="P515" s="1"/>
      <c r="Q515" s="1"/>
      <c r="U515" s="1"/>
      <c r="AA515" s="1"/>
    </row>
    <row r="516" ht="15.75" customHeight="1">
      <c r="A516" s="1"/>
      <c r="B516" s="1"/>
      <c r="C516" s="1"/>
      <c r="D516" s="1"/>
      <c r="G516" s="113"/>
      <c r="H516" s="1"/>
      <c r="I516" s="1"/>
      <c r="J516" s="136"/>
      <c r="M516" s="1"/>
      <c r="P516" s="1"/>
      <c r="Q516" s="1"/>
      <c r="U516" s="1"/>
      <c r="AA516" s="1"/>
    </row>
    <row r="517" ht="15.75" customHeight="1">
      <c r="A517" s="1"/>
      <c r="B517" s="1"/>
      <c r="C517" s="1"/>
      <c r="D517" s="1"/>
      <c r="G517" s="113"/>
      <c r="H517" s="1"/>
      <c r="I517" s="1"/>
      <c r="J517" s="136"/>
      <c r="M517" s="1"/>
      <c r="P517" s="1"/>
      <c r="Q517" s="1"/>
      <c r="U517" s="1"/>
      <c r="AA517" s="1"/>
    </row>
    <row r="518" ht="15.75" customHeight="1">
      <c r="A518" s="1"/>
      <c r="B518" s="1"/>
      <c r="C518" s="1"/>
      <c r="D518" s="1"/>
      <c r="G518" s="113"/>
      <c r="H518" s="1"/>
      <c r="I518" s="1"/>
      <c r="J518" s="136"/>
      <c r="M518" s="1"/>
      <c r="P518" s="1"/>
      <c r="Q518" s="1"/>
      <c r="U518" s="1"/>
      <c r="AA518" s="1"/>
    </row>
    <row r="519" ht="15.75" customHeight="1">
      <c r="A519" s="1"/>
      <c r="B519" s="1"/>
      <c r="C519" s="1"/>
      <c r="D519" s="1"/>
      <c r="G519" s="113"/>
      <c r="H519" s="1"/>
      <c r="I519" s="1"/>
      <c r="J519" s="136"/>
      <c r="M519" s="1"/>
      <c r="P519" s="1"/>
      <c r="Q519" s="1"/>
      <c r="U519" s="1"/>
      <c r="AA519" s="1"/>
    </row>
    <row r="520" ht="15.75" customHeight="1">
      <c r="A520" s="1"/>
      <c r="B520" s="1"/>
      <c r="C520" s="1"/>
      <c r="D520" s="1"/>
      <c r="G520" s="113"/>
      <c r="H520" s="1"/>
      <c r="I520" s="1"/>
      <c r="J520" s="136"/>
      <c r="M520" s="1"/>
      <c r="P520" s="1"/>
      <c r="Q520" s="1"/>
      <c r="U520" s="1"/>
      <c r="AA520" s="1"/>
    </row>
    <row r="521" ht="15.75" customHeight="1">
      <c r="A521" s="1"/>
      <c r="B521" s="1"/>
      <c r="C521" s="1"/>
      <c r="D521" s="1"/>
      <c r="G521" s="113"/>
      <c r="H521" s="1"/>
      <c r="I521" s="1"/>
      <c r="J521" s="136"/>
      <c r="M521" s="1"/>
      <c r="P521" s="1"/>
      <c r="Q521" s="1"/>
      <c r="U521" s="1"/>
      <c r="AA521" s="1"/>
    </row>
    <row r="522" ht="15.75" customHeight="1">
      <c r="A522" s="1"/>
      <c r="B522" s="1"/>
      <c r="C522" s="1"/>
      <c r="D522" s="1"/>
      <c r="G522" s="113"/>
      <c r="H522" s="1"/>
      <c r="I522" s="1"/>
      <c r="J522" s="136"/>
      <c r="M522" s="1"/>
      <c r="P522" s="1"/>
      <c r="Q522" s="1"/>
      <c r="U522" s="1"/>
      <c r="AA522" s="1"/>
    </row>
    <row r="523" ht="15.75" customHeight="1">
      <c r="A523" s="1"/>
      <c r="B523" s="1"/>
      <c r="C523" s="1"/>
      <c r="D523" s="1"/>
      <c r="G523" s="113"/>
      <c r="H523" s="1"/>
      <c r="I523" s="1"/>
      <c r="J523" s="136"/>
      <c r="M523" s="1"/>
      <c r="P523" s="1"/>
      <c r="Q523" s="1"/>
      <c r="U523" s="1"/>
      <c r="AA523" s="1"/>
    </row>
    <row r="524" ht="15.75" customHeight="1">
      <c r="A524" s="1"/>
      <c r="B524" s="1"/>
      <c r="C524" s="1"/>
      <c r="D524" s="1"/>
      <c r="G524" s="113"/>
      <c r="H524" s="1"/>
      <c r="I524" s="1"/>
      <c r="J524" s="136"/>
      <c r="M524" s="1"/>
      <c r="P524" s="1"/>
      <c r="Q524" s="1"/>
      <c r="U524" s="1"/>
      <c r="AA524" s="1"/>
    </row>
    <row r="525" ht="15.75" customHeight="1">
      <c r="A525" s="1"/>
      <c r="B525" s="1"/>
      <c r="C525" s="1"/>
      <c r="D525" s="1"/>
      <c r="G525" s="113"/>
      <c r="H525" s="1"/>
      <c r="I525" s="1"/>
      <c r="J525" s="136"/>
      <c r="M525" s="1"/>
      <c r="P525" s="1"/>
      <c r="Q525" s="1"/>
      <c r="U525" s="1"/>
      <c r="AA525" s="1"/>
    </row>
    <row r="526" ht="15.75" customHeight="1">
      <c r="A526" s="1"/>
      <c r="B526" s="1"/>
      <c r="C526" s="1"/>
      <c r="D526" s="1"/>
      <c r="G526" s="113"/>
      <c r="H526" s="1"/>
      <c r="I526" s="1"/>
      <c r="J526" s="136"/>
      <c r="M526" s="1"/>
      <c r="P526" s="1"/>
      <c r="Q526" s="1"/>
      <c r="U526" s="1"/>
      <c r="AA526" s="1"/>
    </row>
    <row r="527" ht="15.75" customHeight="1">
      <c r="A527" s="1"/>
      <c r="B527" s="1"/>
      <c r="C527" s="1"/>
      <c r="D527" s="1"/>
      <c r="G527" s="113"/>
      <c r="H527" s="1"/>
      <c r="I527" s="1"/>
      <c r="J527" s="136"/>
      <c r="M527" s="1"/>
      <c r="P527" s="1"/>
      <c r="Q527" s="1"/>
      <c r="U527" s="1"/>
      <c r="AA527" s="1"/>
    </row>
    <row r="528" ht="15.75" customHeight="1">
      <c r="A528" s="1"/>
      <c r="B528" s="1"/>
      <c r="C528" s="1"/>
      <c r="D528" s="1"/>
      <c r="G528" s="113"/>
      <c r="H528" s="1"/>
      <c r="I528" s="1"/>
      <c r="J528" s="136"/>
      <c r="M528" s="1"/>
      <c r="P528" s="1"/>
      <c r="Q528" s="1"/>
      <c r="U528" s="1"/>
      <c r="AA528" s="1"/>
    </row>
    <row r="529" ht="15.75" customHeight="1">
      <c r="A529" s="1"/>
      <c r="B529" s="1"/>
      <c r="C529" s="1"/>
      <c r="D529" s="1"/>
      <c r="G529" s="113"/>
      <c r="H529" s="1"/>
      <c r="I529" s="1"/>
      <c r="J529" s="136"/>
      <c r="M529" s="1"/>
      <c r="P529" s="1"/>
      <c r="Q529" s="1"/>
      <c r="U529" s="1"/>
      <c r="AA529" s="1"/>
    </row>
    <row r="530" ht="15.75" customHeight="1">
      <c r="A530" s="1"/>
      <c r="B530" s="1"/>
      <c r="C530" s="1"/>
      <c r="D530" s="1"/>
      <c r="G530" s="113"/>
      <c r="H530" s="1"/>
      <c r="I530" s="1"/>
      <c r="J530" s="136"/>
      <c r="M530" s="1"/>
      <c r="P530" s="1"/>
      <c r="Q530" s="1"/>
      <c r="U530" s="1"/>
      <c r="AA530" s="1"/>
    </row>
    <row r="531" ht="15.75" customHeight="1">
      <c r="A531" s="1"/>
      <c r="B531" s="1"/>
      <c r="C531" s="1"/>
      <c r="D531" s="1"/>
      <c r="G531" s="113"/>
      <c r="H531" s="1"/>
      <c r="I531" s="1"/>
      <c r="J531" s="136"/>
      <c r="M531" s="1"/>
      <c r="P531" s="1"/>
      <c r="Q531" s="1"/>
      <c r="U531" s="1"/>
      <c r="AA531" s="1"/>
    </row>
    <row r="532" ht="15.75" customHeight="1">
      <c r="A532" s="1"/>
      <c r="B532" s="1"/>
      <c r="C532" s="1"/>
      <c r="D532" s="1"/>
      <c r="G532" s="113"/>
      <c r="H532" s="1"/>
      <c r="I532" s="1"/>
      <c r="J532" s="136"/>
      <c r="M532" s="1"/>
      <c r="P532" s="1"/>
      <c r="Q532" s="1"/>
      <c r="U532" s="1"/>
      <c r="AA532" s="1"/>
    </row>
    <row r="533" ht="15.75" customHeight="1">
      <c r="A533" s="1"/>
      <c r="B533" s="1"/>
      <c r="C533" s="1"/>
      <c r="D533" s="1"/>
      <c r="G533" s="113"/>
      <c r="H533" s="1"/>
      <c r="I533" s="1"/>
      <c r="J533" s="136"/>
      <c r="M533" s="1"/>
      <c r="P533" s="1"/>
      <c r="Q533" s="1"/>
      <c r="U533" s="1"/>
      <c r="AA533" s="1"/>
    </row>
    <row r="534" ht="15.75" customHeight="1">
      <c r="A534" s="1"/>
      <c r="B534" s="1"/>
      <c r="C534" s="1"/>
      <c r="D534" s="1"/>
      <c r="G534" s="113"/>
      <c r="H534" s="1"/>
      <c r="I534" s="1"/>
      <c r="J534" s="136"/>
      <c r="M534" s="1"/>
      <c r="P534" s="1"/>
      <c r="Q534" s="1"/>
      <c r="U534" s="1"/>
      <c r="AA534" s="1"/>
    </row>
    <row r="535" ht="15.75" customHeight="1">
      <c r="A535" s="1"/>
      <c r="B535" s="1"/>
      <c r="C535" s="1"/>
      <c r="D535" s="1"/>
      <c r="G535" s="113"/>
      <c r="H535" s="1"/>
      <c r="I535" s="1"/>
      <c r="J535" s="136"/>
      <c r="M535" s="1"/>
      <c r="P535" s="1"/>
      <c r="Q535" s="1"/>
      <c r="U535" s="1"/>
      <c r="AA535" s="1"/>
    </row>
    <row r="536" ht="15.75" customHeight="1">
      <c r="A536" s="1"/>
      <c r="B536" s="1"/>
      <c r="C536" s="1"/>
      <c r="D536" s="1"/>
      <c r="G536" s="113"/>
      <c r="H536" s="1"/>
      <c r="I536" s="1"/>
      <c r="J536" s="136"/>
      <c r="M536" s="1"/>
      <c r="P536" s="1"/>
      <c r="Q536" s="1"/>
      <c r="U536" s="1"/>
      <c r="AA536" s="1"/>
    </row>
    <row r="537" ht="15.75" customHeight="1">
      <c r="A537" s="1"/>
      <c r="B537" s="1"/>
      <c r="C537" s="1"/>
      <c r="D537" s="1"/>
      <c r="G537" s="113"/>
      <c r="H537" s="1"/>
      <c r="I537" s="1"/>
      <c r="J537" s="136"/>
      <c r="M537" s="1"/>
      <c r="P537" s="1"/>
      <c r="Q537" s="1"/>
      <c r="U537" s="1"/>
      <c r="AA537" s="1"/>
    </row>
    <row r="538" ht="15.75" customHeight="1">
      <c r="A538" s="1"/>
      <c r="B538" s="1"/>
      <c r="C538" s="1"/>
      <c r="D538" s="1"/>
      <c r="G538" s="113"/>
      <c r="H538" s="1"/>
      <c r="I538" s="1"/>
      <c r="J538" s="136"/>
      <c r="M538" s="1"/>
      <c r="P538" s="1"/>
      <c r="Q538" s="1"/>
      <c r="U538" s="1"/>
      <c r="AA538" s="1"/>
    </row>
    <row r="539" ht="15.75" customHeight="1">
      <c r="A539" s="1"/>
      <c r="B539" s="1"/>
      <c r="C539" s="1"/>
      <c r="D539" s="1"/>
      <c r="G539" s="113"/>
      <c r="H539" s="1"/>
      <c r="I539" s="1"/>
      <c r="J539" s="136"/>
      <c r="M539" s="1"/>
      <c r="P539" s="1"/>
      <c r="Q539" s="1"/>
      <c r="U539" s="1"/>
      <c r="AA539" s="1"/>
    </row>
    <row r="540" ht="15.75" customHeight="1">
      <c r="A540" s="1"/>
      <c r="B540" s="1"/>
      <c r="C540" s="1"/>
      <c r="D540" s="1"/>
      <c r="G540" s="113"/>
      <c r="H540" s="1"/>
      <c r="I540" s="1"/>
      <c r="J540" s="136"/>
      <c r="M540" s="1"/>
      <c r="P540" s="1"/>
      <c r="Q540" s="1"/>
      <c r="U540" s="1"/>
      <c r="AA540" s="1"/>
    </row>
    <row r="541" ht="15.75" customHeight="1">
      <c r="A541" s="1"/>
      <c r="B541" s="1"/>
      <c r="C541" s="1"/>
      <c r="D541" s="1"/>
      <c r="G541" s="113"/>
      <c r="H541" s="1"/>
      <c r="I541" s="1"/>
      <c r="J541" s="136"/>
      <c r="M541" s="1"/>
      <c r="P541" s="1"/>
      <c r="Q541" s="1"/>
      <c r="U541" s="1"/>
      <c r="AA541" s="1"/>
    </row>
    <row r="542" ht="15.75" customHeight="1">
      <c r="A542" s="1"/>
      <c r="B542" s="1"/>
      <c r="C542" s="1"/>
      <c r="D542" s="1"/>
      <c r="G542" s="113"/>
      <c r="H542" s="1"/>
      <c r="I542" s="1"/>
      <c r="J542" s="136"/>
      <c r="M542" s="1"/>
      <c r="P542" s="1"/>
      <c r="Q542" s="1"/>
      <c r="U542" s="1"/>
      <c r="AA542" s="1"/>
    </row>
    <row r="543" ht="15.75" customHeight="1">
      <c r="A543" s="1"/>
      <c r="B543" s="1"/>
      <c r="C543" s="1"/>
      <c r="D543" s="1"/>
      <c r="G543" s="113"/>
      <c r="H543" s="1"/>
      <c r="I543" s="1"/>
      <c r="J543" s="136"/>
      <c r="M543" s="1"/>
      <c r="P543" s="1"/>
      <c r="Q543" s="1"/>
      <c r="U543" s="1"/>
      <c r="AA543" s="1"/>
    </row>
    <row r="544" ht="15.75" customHeight="1">
      <c r="A544" s="1"/>
      <c r="B544" s="1"/>
      <c r="C544" s="1"/>
      <c r="D544" s="1"/>
      <c r="G544" s="113"/>
      <c r="H544" s="1"/>
      <c r="I544" s="1"/>
      <c r="J544" s="136"/>
      <c r="M544" s="1"/>
      <c r="P544" s="1"/>
      <c r="Q544" s="1"/>
      <c r="U544" s="1"/>
      <c r="AA544" s="1"/>
    </row>
    <row r="545" ht="15.75" customHeight="1">
      <c r="A545" s="1"/>
      <c r="B545" s="1"/>
      <c r="C545" s="1"/>
      <c r="D545" s="1"/>
      <c r="G545" s="113"/>
      <c r="H545" s="1"/>
      <c r="I545" s="1"/>
      <c r="J545" s="136"/>
      <c r="M545" s="1"/>
      <c r="P545" s="1"/>
      <c r="Q545" s="1"/>
      <c r="U545" s="1"/>
      <c r="AA545" s="1"/>
    </row>
    <row r="546" ht="15.75" customHeight="1">
      <c r="A546" s="1"/>
      <c r="B546" s="1"/>
      <c r="C546" s="1"/>
      <c r="D546" s="1"/>
      <c r="G546" s="113"/>
      <c r="H546" s="1"/>
      <c r="I546" s="1"/>
      <c r="J546" s="136"/>
      <c r="M546" s="1"/>
      <c r="P546" s="1"/>
      <c r="Q546" s="1"/>
      <c r="U546" s="1"/>
      <c r="AA546" s="1"/>
    </row>
    <row r="547" ht="15.75" customHeight="1">
      <c r="A547" s="1"/>
      <c r="B547" s="1"/>
      <c r="C547" s="1"/>
      <c r="D547" s="1"/>
      <c r="G547" s="113"/>
      <c r="H547" s="1"/>
      <c r="I547" s="1"/>
      <c r="J547" s="136"/>
      <c r="M547" s="1"/>
      <c r="P547" s="1"/>
      <c r="Q547" s="1"/>
      <c r="U547" s="1"/>
      <c r="AA547" s="1"/>
    </row>
    <row r="548" ht="15.75" customHeight="1">
      <c r="A548" s="1"/>
      <c r="B548" s="1"/>
      <c r="C548" s="1"/>
      <c r="D548" s="1"/>
      <c r="G548" s="113"/>
      <c r="H548" s="1"/>
      <c r="I548" s="1"/>
      <c r="J548" s="136"/>
      <c r="M548" s="1"/>
      <c r="P548" s="1"/>
      <c r="Q548" s="1"/>
      <c r="U548" s="1"/>
      <c r="AA548" s="1"/>
    </row>
    <row r="549" ht="15.75" customHeight="1">
      <c r="A549" s="1"/>
      <c r="B549" s="1"/>
      <c r="C549" s="1"/>
      <c r="D549" s="1"/>
      <c r="G549" s="113"/>
      <c r="H549" s="1"/>
      <c r="I549" s="1"/>
      <c r="J549" s="136"/>
      <c r="M549" s="1"/>
      <c r="P549" s="1"/>
      <c r="Q549" s="1"/>
      <c r="U549" s="1"/>
      <c r="AA549" s="1"/>
    </row>
    <row r="550" ht="15.75" customHeight="1">
      <c r="A550" s="1"/>
      <c r="B550" s="1"/>
      <c r="C550" s="1"/>
      <c r="D550" s="1"/>
      <c r="G550" s="113"/>
      <c r="H550" s="1"/>
      <c r="I550" s="1"/>
      <c r="J550" s="136"/>
      <c r="M550" s="1"/>
      <c r="P550" s="1"/>
      <c r="Q550" s="1"/>
      <c r="U550" s="1"/>
      <c r="AA550" s="1"/>
    </row>
    <row r="551" ht="15.75" customHeight="1">
      <c r="A551" s="1"/>
      <c r="B551" s="1"/>
      <c r="C551" s="1"/>
      <c r="D551" s="1"/>
      <c r="G551" s="113"/>
      <c r="H551" s="1"/>
      <c r="I551" s="1"/>
      <c r="J551" s="136"/>
      <c r="M551" s="1"/>
      <c r="P551" s="1"/>
      <c r="Q551" s="1"/>
      <c r="U551" s="1"/>
      <c r="AA551" s="1"/>
    </row>
    <row r="552" ht="15.75" customHeight="1">
      <c r="A552" s="1"/>
      <c r="B552" s="1"/>
      <c r="C552" s="1"/>
      <c r="D552" s="1"/>
      <c r="G552" s="113"/>
      <c r="H552" s="1"/>
      <c r="I552" s="1"/>
      <c r="J552" s="136"/>
      <c r="M552" s="1"/>
      <c r="P552" s="1"/>
      <c r="Q552" s="1"/>
      <c r="U552" s="1"/>
      <c r="AA552" s="1"/>
    </row>
    <row r="553" ht="15.75" customHeight="1">
      <c r="A553" s="1"/>
      <c r="B553" s="1"/>
      <c r="C553" s="1"/>
      <c r="D553" s="1"/>
      <c r="G553" s="113"/>
      <c r="H553" s="1"/>
      <c r="I553" s="1"/>
      <c r="J553" s="136"/>
      <c r="M553" s="1"/>
      <c r="P553" s="1"/>
      <c r="Q553" s="1"/>
      <c r="U553" s="1"/>
      <c r="AA553" s="1"/>
    </row>
    <row r="554" ht="15.75" customHeight="1">
      <c r="A554" s="1"/>
      <c r="B554" s="1"/>
      <c r="C554" s="1"/>
      <c r="D554" s="1"/>
      <c r="G554" s="113"/>
      <c r="H554" s="1"/>
      <c r="I554" s="1"/>
      <c r="J554" s="136"/>
      <c r="M554" s="1"/>
      <c r="P554" s="1"/>
      <c r="Q554" s="1"/>
      <c r="U554" s="1"/>
      <c r="AA554" s="1"/>
    </row>
    <row r="555" ht="15.75" customHeight="1">
      <c r="A555" s="1"/>
      <c r="B555" s="1"/>
      <c r="C555" s="1"/>
      <c r="D555" s="1"/>
      <c r="G555" s="113"/>
      <c r="H555" s="1"/>
      <c r="I555" s="1"/>
      <c r="J555" s="136"/>
      <c r="M555" s="1"/>
      <c r="P555" s="1"/>
      <c r="Q555" s="1"/>
      <c r="U555" s="1"/>
      <c r="AA555" s="1"/>
    </row>
    <row r="556" ht="15.75" customHeight="1">
      <c r="A556" s="1"/>
      <c r="B556" s="1"/>
      <c r="C556" s="1"/>
      <c r="D556" s="1"/>
      <c r="G556" s="113"/>
      <c r="H556" s="1"/>
      <c r="I556" s="1"/>
      <c r="J556" s="136"/>
      <c r="M556" s="1"/>
      <c r="P556" s="1"/>
      <c r="Q556" s="1"/>
      <c r="U556" s="1"/>
      <c r="AA556" s="1"/>
    </row>
    <row r="557" ht="15.75" customHeight="1">
      <c r="A557" s="1"/>
      <c r="B557" s="1"/>
      <c r="C557" s="1"/>
      <c r="D557" s="1"/>
      <c r="G557" s="113"/>
      <c r="H557" s="1"/>
      <c r="I557" s="1"/>
      <c r="J557" s="136"/>
      <c r="M557" s="1"/>
      <c r="P557" s="1"/>
      <c r="Q557" s="1"/>
      <c r="U557" s="1"/>
      <c r="AA557" s="1"/>
    </row>
    <row r="558" ht="15.75" customHeight="1">
      <c r="A558" s="1"/>
      <c r="B558" s="1"/>
      <c r="C558" s="1"/>
      <c r="D558" s="1"/>
      <c r="G558" s="113"/>
      <c r="H558" s="1"/>
      <c r="I558" s="1"/>
      <c r="J558" s="136"/>
      <c r="M558" s="1"/>
      <c r="P558" s="1"/>
      <c r="Q558" s="1"/>
      <c r="U558" s="1"/>
      <c r="AA558" s="1"/>
    </row>
    <row r="559" ht="15.75" customHeight="1">
      <c r="A559" s="1"/>
      <c r="B559" s="1"/>
      <c r="C559" s="1"/>
      <c r="D559" s="1"/>
      <c r="G559" s="113"/>
      <c r="H559" s="1"/>
      <c r="I559" s="1"/>
      <c r="J559" s="136"/>
      <c r="M559" s="1"/>
      <c r="P559" s="1"/>
      <c r="Q559" s="1"/>
      <c r="U559" s="1"/>
      <c r="AA559" s="1"/>
    </row>
    <row r="560" ht="15.75" customHeight="1">
      <c r="A560" s="1"/>
      <c r="B560" s="1"/>
      <c r="C560" s="1"/>
      <c r="D560" s="1"/>
      <c r="G560" s="113"/>
      <c r="H560" s="1"/>
      <c r="I560" s="1"/>
      <c r="J560" s="136"/>
      <c r="M560" s="1"/>
      <c r="P560" s="1"/>
      <c r="Q560" s="1"/>
      <c r="U560" s="1"/>
      <c r="AA560" s="1"/>
    </row>
    <row r="561" ht="15.75" customHeight="1">
      <c r="A561" s="1"/>
      <c r="B561" s="1"/>
      <c r="C561" s="1"/>
      <c r="D561" s="1"/>
      <c r="G561" s="113"/>
      <c r="H561" s="1"/>
      <c r="I561" s="1"/>
      <c r="J561" s="136"/>
      <c r="M561" s="1"/>
      <c r="P561" s="1"/>
      <c r="Q561" s="1"/>
      <c r="U561" s="1"/>
      <c r="AA561" s="1"/>
    </row>
    <row r="562" ht="15.75" customHeight="1">
      <c r="A562" s="1"/>
      <c r="B562" s="1"/>
      <c r="C562" s="1"/>
      <c r="D562" s="1"/>
      <c r="G562" s="113"/>
      <c r="H562" s="1"/>
      <c r="I562" s="1"/>
      <c r="J562" s="136"/>
      <c r="M562" s="1"/>
      <c r="P562" s="1"/>
      <c r="Q562" s="1"/>
      <c r="U562" s="1"/>
      <c r="AA562" s="1"/>
    </row>
    <row r="563" ht="15.75" customHeight="1">
      <c r="A563" s="1"/>
      <c r="B563" s="1"/>
      <c r="C563" s="1"/>
      <c r="D563" s="1"/>
      <c r="G563" s="113"/>
      <c r="H563" s="1"/>
      <c r="I563" s="1"/>
      <c r="J563" s="136"/>
      <c r="M563" s="1"/>
      <c r="P563" s="1"/>
      <c r="Q563" s="1"/>
      <c r="U563" s="1"/>
      <c r="AA563" s="1"/>
    </row>
    <row r="564" ht="15.75" customHeight="1">
      <c r="A564" s="1"/>
      <c r="B564" s="1"/>
      <c r="C564" s="1"/>
      <c r="D564" s="1"/>
      <c r="G564" s="113"/>
      <c r="H564" s="1"/>
      <c r="I564" s="1"/>
      <c r="J564" s="136"/>
      <c r="M564" s="1"/>
      <c r="P564" s="1"/>
      <c r="Q564" s="1"/>
      <c r="U564" s="1"/>
      <c r="AA564" s="1"/>
    </row>
    <row r="565" ht="15.75" customHeight="1">
      <c r="A565" s="1"/>
      <c r="B565" s="1"/>
      <c r="C565" s="1"/>
      <c r="D565" s="1"/>
      <c r="G565" s="113"/>
      <c r="H565" s="1"/>
      <c r="I565" s="1"/>
      <c r="J565" s="136"/>
      <c r="M565" s="1"/>
      <c r="P565" s="1"/>
      <c r="Q565" s="1"/>
      <c r="U565" s="1"/>
      <c r="AA565" s="1"/>
    </row>
    <row r="566" ht="15.75" customHeight="1">
      <c r="A566" s="1"/>
      <c r="B566" s="1"/>
      <c r="C566" s="1"/>
      <c r="D566" s="1"/>
      <c r="G566" s="113"/>
      <c r="H566" s="1"/>
      <c r="I566" s="1"/>
      <c r="J566" s="136"/>
      <c r="M566" s="1"/>
      <c r="P566" s="1"/>
      <c r="Q566" s="1"/>
      <c r="U566" s="1"/>
      <c r="AA566" s="1"/>
    </row>
    <row r="567" ht="15.75" customHeight="1">
      <c r="A567" s="1"/>
      <c r="B567" s="1"/>
      <c r="C567" s="1"/>
      <c r="D567" s="1"/>
      <c r="G567" s="113"/>
      <c r="H567" s="1"/>
      <c r="I567" s="1"/>
      <c r="J567" s="136"/>
      <c r="M567" s="1"/>
      <c r="P567" s="1"/>
      <c r="Q567" s="1"/>
      <c r="U567" s="1"/>
      <c r="AA567" s="1"/>
    </row>
    <row r="568" ht="15.75" customHeight="1">
      <c r="A568" s="1"/>
      <c r="B568" s="1"/>
      <c r="C568" s="1"/>
      <c r="D568" s="1"/>
      <c r="G568" s="113"/>
      <c r="H568" s="1"/>
      <c r="I568" s="1"/>
      <c r="J568" s="136"/>
      <c r="M568" s="1"/>
      <c r="P568" s="1"/>
      <c r="Q568" s="1"/>
      <c r="U568" s="1"/>
      <c r="AA568" s="1"/>
    </row>
    <row r="569" ht="15.75" customHeight="1">
      <c r="A569" s="1"/>
      <c r="B569" s="1"/>
      <c r="C569" s="1"/>
      <c r="D569" s="1"/>
      <c r="G569" s="113"/>
      <c r="H569" s="1"/>
      <c r="I569" s="1"/>
      <c r="J569" s="136"/>
      <c r="M569" s="1"/>
      <c r="P569" s="1"/>
      <c r="Q569" s="1"/>
      <c r="U569" s="1"/>
      <c r="AA569" s="1"/>
    </row>
    <row r="570" ht="15.75" customHeight="1">
      <c r="A570" s="1"/>
      <c r="B570" s="1"/>
      <c r="C570" s="1"/>
      <c r="D570" s="1"/>
      <c r="G570" s="113"/>
      <c r="H570" s="1"/>
      <c r="I570" s="1"/>
      <c r="J570" s="136"/>
      <c r="M570" s="1"/>
      <c r="P570" s="1"/>
      <c r="Q570" s="1"/>
      <c r="U570" s="1"/>
      <c r="AA570" s="1"/>
    </row>
    <row r="571" ht="15.75" customHeight="1">
      <c r="A571" s="1"/>
      <c r="B571" s="1"/>
      <c r="C571" s="1"/>
      <c r="D571" s="1"/>
      <c r="G571" s="113"/>
      <c r="H571" s="1"/>
      <c r="I571" s="1"/>
      <c r="J571" s="136"/>
      <c r="M571" s="1"/>
      <c r="P571" s="1"/>
      <c r="Q571" s="1"/>
      <c r="U571" s="1"/>
      <c r="AA571" s="1"/>
    </row>
    <row r="572" ht="15.75" customHeight="1">
      <c r="A572" s="1"/>
      <c r="B572" s="1"/>
      <c r="C572" s="1"/>
      <c r="D572" s="1"/>
      <c r="G572" s="113"/>
      <c r="H572" s="1"/>
      <c r="I572" s="1"/>
      <c r="J572" s="136"/>
      <c r="M572" s="1"/>
      <c r="P572" s="1"/>
      <c r="Q572" s="1"/>
      <c r="U572" s="1"/>
      <c r="AA572" s="1"/>
    </row>
    <row r="573" ht="15.75" customHeight="1">
      <c r="A573" s="1"/>
      <c r="B573" s="1"/>
      <c r="C573" s="1"/>
      <c r="D573" s="1"/>
      <c r="G573" s="113"/>
      <c r="H573" s="1"/>
      <c r="I573" s="1"/>
      <c r="J573" s="136"/>
      <c r="M573" s="1"/>
      <c r="P573" s="1"/>
      <c r="Q573" s="1"/>
      <c r="U573" s="1"/>
      <c r="AA573" s="1"/>
    </row>
    <row r="574" ht="15.75" customHeight="1">
      <c r="A574" s="1"/>
      <c r="B574" s="1"/>
      <c r="C574" s="1"/>
      <c r="D574" s="1"/>
      <c r="G574" s="113"/>
      <c r="H574" s="1"/>
      <c r="I574" s="1"/>
      <c r="J574" s="136"/>
      <c r="M574" s="1"/>
      <c r="P574" s="1"/>
      <c r="Q574" s="1"/>
      <c r="U574" s="1"/>
      <c r="AA574" s="1"/>
    </row>
    <row r="575" ht="15.75" customHeight="1">
      <c r="A575" s="1"/>
      <c r="B575" s="1"/>
      <c r="C575" s="1"/>
      <c r="D575" s="1"/>
      <c r="G575" s="113"/>
      <c r="H575" s="1"/>
      <c r="I575" s="1"/>
      <c r="J575" s="136"/>
      <c r="M575" s="1"/>
      <c r="P575" s="1"/>
      <c r="Q575" s="1"/>
      <c r="U575" s="1"/>
      <c r="AA575" s="1"/>
    </row>
    <row r="576" ht="15.75" customHeight="1">
      <c r="A576" s="1"/>
      <c r="B576" s="1"/>
      <c r="C576" s="1"/>
      <c r="D576" s="1"/>
      <c r="G576" s="113"/>
      <c r="H576" s="1"/>
      <c r="I576" s="1"/>
      <c r="J576" s="136"/>
      <c r="M576" s="1"/>
      <c r="P576" s="1"/>
      <c r="Q576" s="1"/>
      <c r="U576" s="1"/>
      <c r="AA576" s="1"/>
    </row>
    <row r="577" ht="15.75" customHeight="1">
      <c r="A577" s="1"/>
      <c r="B577" s="1"/>
      <c r="C577" s="1"/>
      <c r="D577" s="1"/>
      <c r="G577" s="113"/>
      <c r="H577" s="1"/>
      <c r="I577" s="1"/>
      <c r="J577" s="136"/>
      <c r="M577" s="1"/>
      <c r="P577" s="1"/>
      <c r="Q577" s="1"/>
      <c r="U577" s="1"/>
      <c r="AA577" s="1"/>
    </row>
    <row r="578" ht="15.75" customHeight="1">
      <c r="A578" s="1"/>
      <c r="B578" s="1"/>
      <c r="C578" s="1"/>
      <c r="D578" s="1"/>
      <c r="G578" s="113"/>
      <c r="H578" s="1"/>
      <c r="I578" s="1"/>
      <c r="J578" s="136"/>
      <c r="M578" s="1"/>
      <c r="P578" s="1"/>
      <c r="Q578" s="1"/>
      <c r="U578" s="1"/>
      <c r="AA578" s="1"/>
    </row>
    <row r="579" ht="15.75" customHeight="1">
      <c r="A579" s="1"/>
      <c r="B579" s="1"/>
      <c r="C579" s="1"/>
      <c r="D579" s="1"/>
      <c r="G579" s="113"/>
      <c r="H579" s="1"/>
      <c r="I579" s="1"/>
      <c r="J579" s="136"/>
      <c r="M579" s="1"/>
      <c r="P579" s="1"/>
      <c r="Q579" s="1"/>
      <c r="U579" s="1"/>
      <c r="AA579" s="1"/>
    </row>
    <row r="580" ht="15.75" customHeight="1">
      <c r="A580" s="1"/>
      <c r="B580" s="1"/>
      <c r="C580" s="1"/>
      <c r="D580" s="1"/>
      <c r="G580" s="113"/>
      <c r="H580" s="1"/>
      <c r="I580" s="1"/>
      <c r="J580" s="136"/>
      <c r="M580" s="1"/>
      <c r="P580" s="1"/>
      <c r="Q580" s="1"/>
      <c r="U580" s="1"/>
      <c r="AA580" s="1"/>
    </row>
    <row r="581" ht="15.75" customHeight="1">
      <c r="A581" s="1"/>
      <c r="B581" s="1"/>
      <c r="C581" s="1"/>
      <c r="D581" s="1"/>
      <c r="G581" s="113"/>
      <c r="H581" s="1"/>
      <c r="I581" s="1"/>
      <c r="J581" s="136"/>
      <c r="M581" s="1"/>
      <c r="P581" s="1"/>
      <c r="Q581" s="1"/>
      <c r="U581" s="1"/>
      <c r="AA581" s="1"/>
    </row>
    <row r="582" ht="15.75" customHeight="1">
      <c r="A582" s="1"/>
      <c r="B582" s="1"/>
      <c r="C582" s="1"/>
      <c r="D582" s="1"/>
      <c r="G582" s="113"/>
      <c r="H582" s="1"/>
      <c r="I582" s="1"/>
      <c r="J582" s="136"/>
      <c r="M582" s="1"/>
      <c r="P582" s="1"/>
      <c r="Q582" s="1"/>
      <c r="U582" s="1"/>
      <c r="AA582" s="1"/>
    </row>
    <row r="583" ht="15.75" customHeight="1">
      <c r="A583" s="1"/>
      <c r="B583" s="1"/>
      <c r="C583" s="1"/>
      <c r="D583" s="1"/>
      <c r="G583" s="113"/>
      <c r="H583" s="1"/>
      <c r="I583" s="1"/>
      <c r="J583" s="136"/>
      <c r="M583" s="1"/>
      <c r="P583" s="1"/>
      <c r="Q583" s="1"/>
      <c r="U583" s="1"/>
      <c r="AA583" s="1"/>
    </row>
    <row r="584" ht="15.75" customHeight="1">
      <c r="A584" s="1"/>
      <c r="B584" s="1"/>
      <c r="C584" s="1"/>
      <c r="D584" s="1"/>
      <c r="G584" s="113"/>
      <c r="H584" s="1"/>
      <c r="I584" s="1"/>
      <c r="J584" s="136"/>
      <c r="M584" s="1"/>
      <c r="P584" s="1"/>
      <c r="Q584" s="1"/>
      <c r="U584" s="1"/>
      <c r="AA584" s="1"/>
    </row>
    <row r="585" ht="15.75" customHeight="1">
      <c r="A585" s="1"/>
      <c r="B585" s="1"/>
      <c r="C585" s="1"/>
      <c r="D585" s="1"/>
      <c r="G585" s="113"/>
      <c r="H585" s="1"/>
      <c r="I585" s="1"/>
      <c r="J585" s="136"/>
      <c r="M585" s="1"/>
      <c r="P585" s="1"/>
      <c r="Q585" s="1"/>
      <c r="U585" s="1"/>
      <c r="AA585" s="1"/>
    </row>
    <row r="586" ht="15.75" customHeight="1">
      <c r="A586" s="1"/>
      <c r="B586" s="1"/>
      <c r="C586" s="1"/>
      <c r="D586" s="1"/>
      <c r="G586" s="113"/>
      <c r="H586" s="1"/>
      <c r="I586" s="1"/>
      <c r="J586" s="136"/>
      <c r="M586" s="1"/>
      <c r="P586" s="1"/>
      <c r="Q586" s="1"/>
      <c r="U586" s="1"/>
      <c r="AA586" s="1"/>
    </row>
    <row r="587" ht="15.75" customHeight="1">
      <c r="A587" s="1"/>
      <c r="B587" s="1"/>
      <c r="C587" s="1"/>
      <c r="D587" s="1"/>
      <c r="G587" s="113"/>
      <c r="H587" s="1"/>
      <c r="I587" s="1"/>
      <c r="J587" s="136"/>
      <c r="M587" s="1"/>
      <c r="P587" s="1"/>
      <c r="Q587" s="1"/>
      <c r="U587" s="1"/>
      <c r="AA587" s="1"/>
    </row>
    <row r="588" ht="15.75" customHeight="1">
      <c r="A588" s="1"/>
      <c r="B588" s="1"/>
      <c r="C588" s="1"/>
      <c r="D588" s="1"/>
      <c r="G588" s="113"/>
      <c r="H588" s="1"/>
      <c r="I588" s="1"/>
      <c r="J588" s="136"/>
      <c r="M588" s="1"/>
      <c r="P588" s="1"/>
      <c r="Q588" s="1"/>
      <c r="U588" s="1"/>
      <c r="AA588" s="1"/>
    </row>
    <row r="589" ht="15.75" customHeight="1">
      <c r="A589" s="1"/>
      <c r="B589" s="1"/>
      <c r="C589" s="1"/>
      <c r="D589" s="1"/>
      <c r="G589" s="113"/>
      <c r="H589" s="1"/>
      <c r="I589" s="1"/>
      <c r="J589" s="136"/>
      <c r="M589" s="1"/>
      <c r="P589" s="1"/>
      <c r="Q589" s="1"/>
      <c r="U589" s="1"/>
      <c r="AA589" s="1"/>
    </row>
    <row r="590" ht="15.75" customHeight="1">
      <c r="A590" s="1"/>
      <c r="B590" s="1"/>
      <c r="C590" s="1"/>
      <c r="D590" s="1"/>
      <c r="G590" s="113"/>
      <c r="H590" s="1"/>
      <c r="I590" s="1"/>
      <c r="J590" s="136"/>
      <c r="M590" s="1"/>
      <c r="P590" s="1"/>
      <c r="Q590" s="1"/>
      <c r="U590" s="1"/>
      <c r="AA590" s="1"/>
    </row>
    <row r="591" ht="15.75" customHeight="1">
      <c r="A591" s="1"/>
      <c r="B591" s="1"/>
      <c r="C591" s="1"/>
      <c r="D591" s="1"/>
      <c r="G591" s="113"/>
      <c r="H591" s="1"/>
      <c r="I591" s="1"/>
      <c r="J591" s="136"/>
      <c r="M591" s="1"/>
      <c r="P591" s="1"/>
      <c r="Q591" s="1"/>
      <c r="U591" s="1"/>
      <c r="AA591" s="1"/>
    </row>
    <row r="592" ht="15.75" customHeight="1">
      <c r="A592" s="1"/>
      <c r="B592" s="1"/>
      <c r="C592" s="1"/>
      <c r="D592" s="1"/>
      <c r="G592" s="113"/>
      <c r="H592" s="1"/>
      <c r="I592" s="1"/>
      <c r="J592" s="136"/>
      <c r="M592" s="1"/>
      <c r="P592" s="1"/>
      <c r="Q592" s="1"/>
      <c r="U592" s="1"/>
      <c r="AA592" s="1"/>
    </row>
    <row r="593" ht="15.75" customHeight="1">
      <c r="A593" s="1"/>
      <c r="B593" s="1"/>
      <c r="C593" s="1"/>
      <c r="D593" s="1"/>
      <c r="G593" s="113"/>
      <c r="H593" s="1"/>
      <c r="I593" s="1"/>
      <c r="J593" s="136"/>
      <c r="M593" s="1"/>
      <c r="P593" s="1"/>
      <c r="Q593" s="1"/>
      <c r="U593" s="1"/>
      <c r="AA593" s="1"/>
    </row>
    <row r="594" ht="15.75" customHeight="1">
      <c r="A594" s="1"/>
      <c r="B594" s="1"/>
      <c r="C594" s="1"/>
      <c r="D594" s="1"/>
      <c r="G594" s="113"/>
      <c r="H594" s="1"/>
      <c r="I594" s="1"/>
      <c r="J594" s="136"/>
      <c r="M594" s="1"/>
      <c r="P594" s="1"/>
      <c r="Q594" s="1"/>
      <c r="U594" s="1"/>
      <c r="AA594" s="1"/>
    </row>
    <row r="595" ht="15.75" customHeight="1">
      <c r="A595" s="1"/>
      <c r="B595" s="1"/>
      <c r="C595" s="1"/>
      <c r="D595" s="1"/>
      <c r="G595" s="113"/>
      <c r="H595" s="1"/>
      <c r="I595" s="1"/>
      <c r="J595" s="136"/>
      <c r="M595" s="1"/>
      <c r="P595" s="1"/>
      <c r="Q595" s="1"/>
      <c r="U595" s="1"/>
      <c r="AA595" s="1"/>
    </row>
    <row r="596" ht="15.75" customHeight="1">
      <c r="A596" s="1"/>
      <c r="B596" s="1"/>
      <c r="C596" s="1"/>
      <c r="D596" s="1"/>
      <c r="G596" s="113"/>
      <c r="H596" s="1"/>
      <c r="I596" s="1"/>
      <c r="J596" s="136"/>
      <c r="M596" s="1"/>
      <c r="P596" s="1"/>
      <c r="Q596" s="1"/>
      <c r="U596" s="1"/>
      <c r="AA596" s="1"/>
    </row>
    <row r="597" ht="15.75" customHeight="1">
      <c r="A597" s="1"/>
      <c r="B597" s="1"/>
      <c r="C597" s="1"/>
      <c r="D597" s="1"/>
      <c r="G597" s="113"/>
      <c r="H597" s="1"/>
      <c r="I597" s="1"/>
      <c r="J597" s="136"/>
      <c r="M597" s="1"/>
      <c r="P597" s="1"/>
      <c r="Q597" s="1"/>
      <c r="U597" s="1"/>
      <c r="AA597" s="1"/>
    </row>
    <row r="598" ht="15.75" customHeight="1">
      <c r="A598" s="1"/>
      <c r="B598" s="1"/>
      <c r="C598" s="1"/>
      <c r="D598" s="1"/>
      <c r="G598" s="113"/>
      <c r="H598" s="1"/>
      <c r="I598" s="1"/>
      <c r="J598" s="136"/>
      <c r="M598" s="1"/>
      <c r="P598" s="1"/>
      <c r="Q598" s="1"/>
      <c r="U598" s="1"/>
      <c r="AA598" s="1"/>
    </row>
    <row r="599" ht="15.75" customHeight="1">
      <c r="A599" s="1"/>
      <c r="B599" s="1"/>
      <c r="C599" s="1"/>
      <c r="D599" s="1"/>
      <c r="G599" s="113"/>
      <c r="H599" s="1"/>
      <c r="I599" s="1"/>
      <c r="J599" s="136"/>
      <c r="M599" s="1"/>
      <c r="P599" s="1"/>
      <c r="Q599" s="1"/>
      <c r="U599" s="1"/>
      <c r="AA599" s="1"/>
    </row>
    <row r="600" ht="15.75" customHeight="1">
      <c r="A600" s="1"/>
      <c r="B600" s="1"/>
      <c r="C600" s="1"/>
      <c r="D600" s="1"/>
      <c r="G600" s="113"/>
      <c r="H600" s="1"/>
      <c r="I600" s="1"/>
      <c r="J600" s="136"/>
      <c r="M600" s="1"/>
      <c r="P600" s="1"/>
      <c r="Q600" s="1"/>
      <c r="U600" s="1"/>
      <c r="AA600" s="1"/>
    </row>
    <row r="601" ht="15.75" customHeight="1">
      <c r="A601" s="1"/>
      <c r="B601" s="1"/>
      <c r="C601" s="1"/>
      <c r="D601" s="1"/>
      <c r="G601" s="113"/>
      <c r="H601" s="1"/>
      <c r="I601" s="1"/>
      <c r="J601" s="136"/>
      <c r="M601" s="1"/>
      <c r="P601" s="1"/>
      <c r="Q601" s="1"/>
      <c r="U601" s="1"/>
      <c r="AA601" s="1"/>
    </row>
    <row r="602" ht="15.75" customHeight="1">
      <c r="A602" s="1"/>
      <c r="B602" s="1"/>
      <c r="C602" s="1"/>
      <c r="D602" s="1"/>
      <c r="G602" s="113"/>
      <c r="H602" s="1"/>
      <c r="I602" s="1"/>
      <c r="J602" s="136"/>
      <c r="M602" s="1"/>
      <c r="P602" s="1"/>
      <c r="Q602" s="1"/>
      <c r="U602" s="1"/>
      <c r="AA602" s="1"/>
    </row>
    <row r="603" ht="15.75" customHeight="1">
      <c r="A603" s="1"/>
      <c r="B603" s="1"/>
      <c r="C603" s="1"/>
      <c r="D603" s="1"/>
      <c r="G603" s="113"/>
      <c r="H603" s="1"/>
      <c r="I603" s="1"/>
      <c r="J603" s="136"/>
      <c r="M603" s="1"/>
      <c r="P603" s="1"/>
      <c r="Q603" s="1"/>
      <c r="U603" s="1"/>
      <c r="AA603" s="1"/>
    </row>
    <row r="604" ht="15.75" customHeight="1">
      <c r="A604" s="1"/>
      <c r="B604" s="1"/>
      <c r="C604" s="1"/>
      <c r="D604" s="1"/>
      <c r="G604" s="113"/>
      <c r="H604" s="1"/>
      <c r="I604" s="1"/>
      <c r="J604" s="136"/>
      <c r="M604" s="1"/>
      <c r="P604" s="1"/>
      <c r="Q604" s="1"/>
      <c r="U604" s="1"/>
      <c r="AA604" s="1"/>
    </row>
    <row r="605" ht="15.75" customHeight="1">
      <c r="A605" s="1"/>
      <c r="B605" s="1"/>
      <c r="C605" s="1"/>
      <c r="D605" s="1"/>
      <c r="G605" s="113"/>
      <c r="H605" s="1"/>
      <c r="I605" s="1"/>
      <c r="J605" s="136"/>
      <c r="M605" s="1"/>
      <c r="P605" s="1"/>
      <c r="Q605" s="1"/>
      <c r="U605" s="1"/>
      <c r="AA605" s="1"/>
    </row>
    <row r="606" ht="15.75" customHeight="1">
      <c r="A606" s="1"/>
      <c r="B606" s="1"/>
      <c r="C606" s="1"/>
      <c r="D606" s="1"/>
      <c r="G606" s="113"/>
      <c r="H606" s="1"/>
      <c r="I606" s="1"/>
      <c r="J606" s="136"/>
      <c r="M606" s="1"/>
      <c r="P606" s="1"/>
      <c r="Q606" s="1"/>
      <c r="U606" s="1"/>
      <c r="AA606" s="1"/>
    </row>
    <row r="607" ht="15.75" customHeight="1">
      <c r="A607" s="1"/>
      <c r="B607" s="1"/>
      <c r="C607" s="1"/>
      <c r="D607" s="1"/>
      <c r="G607" s="113"/>
      <c r="H607" s="1"/>
      <c r="I607" s="1"/>
      <c r="J607" s="136"/>
      <c r="M607" s="1"/>
      <c r="P607" s="1"/>
      <c r="Q607" s="1"/>
      <c r="U607" s="1"/>
      <c r="AA607" s="1"/>
    </row>
    <row r="608" ht="15.75" customHeight="1">
      <c r="A608" s="1"/>
      <c r="B608" s="1"/>
      <c r="C608" s="1"/>
      <c r="D608" s="1"/>
      <c r="G608" s="113"/>
      <c r="H608" s="1"/>
      <c r="I608" s="1"/>
      <c r="J608" s="136"/>
      <c r="M608" s="1"/>
      <c r="P608" s="1"/>
      <c r="Q608" s="1"/>
      <c r="U608" s="1"/>
      <c r="AA608" s="1"/>
    </row>
    <row r="609" ht="15.75" customHeight="1">
      <c r="A609" s="1"/>
      <c r="B609" s="1"/>
      <c r="C609" s="1"/>
      <c r="D609" s="1"/>
      <c r="G609" s="113"/>
      <c r="H609" s="1"/>
      <c r="I609" s="1"/>
      <c r="J609" s="136"/>
      <c r="M609" s="1"/>
      <c r="P609" s="1"/>
      <c r="Q609" s="1"/>
      <c r="U609" s="1"/>
      <c r="AA609" s="1"/>
    </row>
    <row r="610" ht="15.75" customHeight="1">
      <c r="A610" s="1"/>
      <c r="B610" s="1"/>
      <c r="C610" s="1"/>
      <c r="D610" s="1"/>
      <c r="G610" s="113"/>
      <c r="H610" s="1"/>
      <c r="I610" s="1"/>
      <c r="J610" s="136"/>
      <c r="M610" s="1"/>
      <c r="P610" s="1"/>
      <c r="Q610" s="1"/>
      <c r="U610" s="1"/>
      <c r="AA610" s="1"/>
    </row>
    <row r="611" ht="15.75" customHeight="1">
      <c r="A611" s="1"/>
      <c r="B611" s="1"/>
      <c r="C611" s="1"/>
      <c r="D611" s="1"/>
      <c r="G611" s="113"/>
      <c r="H611" s="1"/>
      <c r="I611" s="1"/>
      <c r="J611" s="136"/>
      <c r="M611" s="1"/>
      <c r="P611" s="1"/>
      <c r="Q611" s="1"/>
      <c r="U611" s="1"/>
      <c r="AA611" s="1"/>
    </row>
    <row r="612" ht="15.75" customHeight="1">
      <c r="A612" s="1"/>
      <c r="B612" s="1"/>
      <c r="C612" s="1"/>
      <c r="D612" s="1"/>
      <c r="G612" s="113"/>
      <c r="H612" s="1"/>
      <c r="I612" s="1"/>
      <c r="J612" s="136"/>
      <c r="M612" s="1"/>
      <c r="P612" s="1"/>
      <c r="Q612" s="1"/>
      <c r="U612" s="1"/>
      <c r="AA612" s="1"/>
    </row>
    <row r="613" ht="15.75" customHeight="1">
      <c r="A613" s="1"/>
      <c r="B613" s="1"/>
      <c r="C613" s="1"/>
      <c r="D613" s="1"/>
      <c r="G613" s="113"/>
      <c r="H613" s="1"/>
      <c r="I613" s="1"/>
      <c r="J613" s="136"/>
      <c r="M613" s="1"/>
      <c r="P613" s="1"/>
      <c r="Q613" s="1"/>
      <c r="U613" s="1"/>
      <c r="AA613" s="1"/>
    </row>
    <row r="614" ht="15.75" customHeight="1">
      <c r="A614" s="1"/>
      <c r="B614" s="1"/>
      <c r="C614" s="1"/>
      <c r="D614" s="1"/>
      <c r="G614" s="113"/>
      <c r="H614" s="1"/>
      <c r="I614" s="1"/>
      <c r="J614" s="136"/>
      <c r="M614" s="1"/>
      <c r="P614" s="1"/>
      <c r="Q614" s="1"/>
      <c r="U614" s="1"/>
      <c r="AA614" s="1"/>
    </row>
    <row r="615" ht="15.75" customHeight="1">
      <c r="A615" s="1"/>
      <c r="B615" s="1"/>
      <c r="C615" s="1"/>
      <c r="D615" s="1"/>
      <c r="G615" s="113"/>
      <c r="H615" s="1"/>
      <c r="I615" s="1"/>
      <c r="J615" s="136"/>
      <c r="M615" s="1"/>
      <c r="P615" s="1"/>
      <c r="Q615" s="1"/>
      <c r="U615" s="1"/>
      <c r="AA615" s="1"/>
    </row>
    <row r="616" ht="15.75" customHeight="1">
      <c r="A616" s="1"/>
      <c r="B616" s="1"/>
      <c r="C616" s="1"/>
      <c r="D616" s="1"/>
      <c r="G616" s="113"/>
      <c r="H616" s="1"/>
      <c r="I616" s="1"/>
      <c r="J616" s="136"/>
      <c r="M616" s="1"/>
      <c r="P616" s="1"/>
      <c r="Q616" s="1"/>
      <c r="U616" s="1"/>
      <c r="AA616" s="1"/>
    </row>
    <row r="617" ht="15.75" customHeight="1">
      <c r="A617" s="1"/>
      <c r="B617" s="1"/>
      <c r="C617" s="1"/>
      <c r="D617" s="1"/>
      <c r="G617" s="113"/>
      <c r="H617" s="1"/>
      <c r="I617" s="1"/>
      <c r="J617" s="136"/>
      <c r="M617" s="1"/>
      <c r="P617" s="1"/>
      <c r="Q617" s="1"/>
      <c r="U617" s="1"/>
      <c r="AA617" s="1"/>
    </row>
    <row r="618" ht="15.75" customHeight="1">
      <c r="A618" s="1"/>
      <c r="B618" s="1"/>
      <c r="C618" s="1"/>
      <c r="D618" s="1"/>
      <c r="G618" s="113"/>
      <c r="H618" s="1"/>
      <c r="I618" s="1"/>
      <c r="J618" s="136"/>
      <c r="M618" s="1"/>
      <c r="P618" s="1"/>
      <c r="Q618" s="1"/>
      <c r="U618" s="1"/>
      <c r="AA618" s="1"/>
    </row>
    <row r="619" ht="15.75" customHeight="1">
      <c r="A619" s="1"/>
      <c r="B619" s="1"/>
      <c r="C619" s="1"/>
      <c r="D619" s="1"/>
      <c r="G619" s="113"/>
      <c r="H619" s="1"/>
      <c r="I619" s="1"/>
      <c r="J619" s="136"/>
      <c r="M619" s="1"/>
      <c r="P619" s="1"/>
      <c r="Q619" s="1"/>
      <c r="U619" s="1"/>
      <c r="AA619" s="1"/>
    </row>
    <row r="620" ht="15.75" customHeight="1">
      <c r="A620" s="1"/>
      <c r="B620" s="1"/>
      <c r="C620" s="1"/>
      <c r="D620" s="1"/>
      <c r="G620" s="113"/>
      <c r="H620" s="1"/>
      <c r="I620" s="1"/>
      <c r="J620" s="136"/>
      <c r="M620" s="1"/>
      <c r="P620" s="1"/>
      <c r="Q620" s="1"/>
      <c r="U620" s="1"/>
      <c r="AA620" s="1"/>
    </row>
    <row r="621" ht="15.75" customHeight="1">
      <c r="A621" s="1"/>
      <c r="B621" s="1"/>
      <c r="C621" s="1"/>
      <c r="D621" s="1"/>
      <c r="G621" s="113"/>
      <c r="H621" s="1"/>
      <c r="I621" s="1"/>
      <c r="J621" s="136"/>
      <c r="M621" s="1"/>
      <c r="P621" s="1"/>
      <c r="Q621" s="1"/>
      <c r="U621" s="1"/>
      <c r="AA621" s="1"/>
    </row>
    <row r="622" ht="15.75" customHeight="1">
      <c r="A622" s="1"/>
      <c r="B622" s="1"/>
      <c r="C622" s="1"/>
      <c r="D622" s="1"/>
      <c r="G622" s="113"/>
      <c r="H622" s="1"/>
      <c r="I622" s="1"/>
      <c r="J622" s="136"/>
      <c r="M622" s="1"/>
      <c r="P622" s="1"/>
      <c r="Q622" s="1"/>
      <c r="U622" s="1"/>
      <c r="AA622" s="1"/>
    </row>
    <row r="623" ht="15.75" customHeight="1">
      <c r="A623" s="1"/>
      <c r="B623" s="1"/>
      <c r="C623" s="1"/>
      <c r="D623" s="1"/>
      <c r="G623" s="113"/>
      <c r="H623" s="1"/>
      <c r="I623" s="1"/>
      <c r="J623" s="136"/>
      <c r="M623" s="1"/>
      <c r="P623" s="1"/>
      <c r="Q623" s="1"/>
      <c r="U623" s="1"/>
      <c r="AA623" s="1"/>
    </row>
    <row r="624" ht="15.75" customHeight="1">
      <c r="A624" s="1"/>
      <c r="B624" s="1"/>
      <c r="C624" s="1"/>
      <c r="D624" s="1"/>
      <c r="G624" s="113"/>
      <c r="H624" s="1"/>
      <c r="I624" s="1"/>
      <c r="J624" s="136"/>
      <c r="M624" s="1"/>
      <c r="P624" s="1"/>
      <c r="Q624" s="1"/>
      <c r="U624" s="1"/>
      <c r="AA624" s="1"/>
    </row>
    <row r="625" ht="15.75" customHeight="1">
      <c r="A625" s="1"/>
      <c r="B625" s="1"/>
      <c r="C625" s="1"/>
      <c r="D625" s="1"/>
      <c r="G625" s="113"/>
      <c r="H625" s="1"/>
      <c r="I625" s="1"/>
      <c r="J625" s="136"/>
      <c r="M625" s="1"/>
      <c r="P625" s="1"/>
      <c r="Q625" s="1"/>
      <c r="U625" s="1"/>
      <c r="AA625" s="1"/>
    </row>
    <row r="626" ht="15.75" customHeight="1">
      <c r="A626" s="1"/>
      <c r="B626" s="1"/>
      <c r="C626" s="1"/>
      <c r="D626" s="1"/>
      <c r="G626" s="113"/>
      <c r="H626" s="1"/>
      <c r="I626" s="1"/>
      <c r="J626" s="136"/>
      <c r="M626" s="1"/>
      <c r="P626" s="1"/>
      <c r="Q626" s="1"/>
      <c r="U626" s="1"/>
      <c r="AA626" s="1"/>
    </row>
    <row r="627" ht="15.75" customHeight="1">
      <c r="A627" s="1"/>
      <c r="B627" s="1"/>
      <c r="C627" s="1"/>
      <c r="D627" s="1"/>
      <c r="G627" s="113"/>
      <c r="H627" s="1"/>
      <c r="I627" s="1"/>
      <c r="J627" s="136"/>
      <c r="M627" s="1"/>
      <c r="P627" s="1"/>
      <c r="Q627" s="1"/>
      <c r="U627" s="1"/>
      <c r="AA627" s="1"/>
    </row>
    <row r="628" ht="15.75" customHeight="1">
      <c r="A628" s="1"/>
      <c r="B628" s="1"/>
      <c r="C628" s="1"/>
      <c r="D628" s="1"/>
      <c r="G628" s="113"/>
      <c r="H628" s="1"/>
      <c r="I628" s="1"/>
      <c r="J628" s="136"/>
      <c r="M628" s="1"/>
      <c r="P628" s="1"/>
      <c r="Q628" s="1"/>
      <c r="U628" s="1"/>
      <c r="AA628" s="1"/>
    </row>
    <row r="629" ht="15.75" customHeight="1">
      <c r="A629" s="1"/>
      <c r="B629" s="1"/>
      <c r="C629" s="1"/>
      <c r="D629" s="1"/>
      <c r="G629" s="113"/>
      <c r="H629" s="1"/>
      <c r="I629" s="1"/>
      <c r="J629" s="136"/>
      <c r="M629" s="1"/>
      <c r="P629" s="1"/>
      <c r="Q629" s="1"/>
      <c r="U629" s="1"/>
      <c r="AA629" s="1"/>
    </row>
    <row r="630" ht="15.75" customHeight="1">
      <c r="A630" s="1"/>
      <c r="B630" s="1"/>
      <c r="C630" s="1"/>
      <c r="D630" s="1"/>
      <c r="G630" s="113"/>
      <c r="H630" s="1"/>
      <c r="I630" s="1"/>
      <c r="J630" s="136"/>
      <c r="M630" s="1"/>
      <c r="P630" s="1"/>
      <c r="Q630" s="1"/>
      <c r="U630" s="1"/>
      <c r="AA630" s="1"/>
    </row>
    <row r="631" ht="15.75" customHeight="1">
      <c r="A631" s="1"/>
      <c r="B631" s="1"/>
      <c r="C631" s="1"/>
      <c r="D631" s="1"/>
      <c r="G631" s="113"/>
      <c r="H631" s="1"/>
      <c r="I631" s="1"/>
      <c r="J631" s="136"/>
      <c r="M631" s="1"/>
      <c r="P631" s="1"/>
      <c r="Q631" s="1"/>
      <c r="U631" s="1"/>
      <c r="AA631" s="1"/>
    </row>
    <row r="632" ht="15.75" customHeight="1">
      <c r="A632" s="1"/>
      <c r="B632" s="1"/>
      <c r="C632" s="1"/>
      <c r="D632" s="1"/>
      <c r="G632" s="113"/>
      <c r="H632" s="1"/>
      <c r="I632" s="1"/>
      <c r="J632" s="136"/>
      <c r="M632" s="1"/>
      <c r="P632" s="1"/>
      <c r="Q632" s="1"/>
      <c r="U632" s="1"/>
      <c r="AA632" s="1"/>
    </row>
    <row r="633" ht="15.75" customHeight="1">
      <c r="A633" s="1"/>
      <c r="B633" s="1"/>
      <c r="C633" s="1"/>
      <c r="D633" s="1"/>
      <c r="G633" s="113"/>
      <c r="H633" s="1"/>
      <c r="I633" s="1"/>
      <c r="J633" s="136"/>
      <c r="M633" s="1"/>
      <c r="P633" s="1"/>
      <c r="Q633" s="1"/>
      <c r="U633" s="1"/>
      <c r="AA633" s="1"/>
    </row>
    <row r="634" ht="15.75" customHeight="1">
      <c r="A634" s="1"/>
      <c r="B634" s="1"/>
      <c r="C634" s="1"/>
      <c r="D634" s="1"/>
      <c r="G634" s="113"/>
      <c r="H634" s="1"/>
      <c r="I634" s="1"/>
      <c r="J634" s="136"/>
      <c r="M634" s="1"/>
      <c r="P634" s="1"/>
      <c r="Q634" s="1"/>
      <c r="U634" s="1"/>
      <c r="AA634" s="1"/>
    </row>
    <row r="635" ht="15.75" customHeight="1">
      <c r="A635" s="1"/>
      <c r="B635" s="1"/>
      <c r="C635" s="1"/>
      <c r="D635" s="1"/>
      <c r="G635" s="113"/>
      <c r="H635" s="1"/>
      <c r="I635" s="1"/>
      <c r="J635" s="136"/>
      <c r="M635" s="1"/>
      <c r="P635" s="1"/>
      <c r="Q635" s="1"/>
      <c r="U635" s="1"/>
      <c r="AA635" s="1"/>
    </row>
    <row r="636" ht="15.75" customHeight="1">
      <c r="A636" s="1"/>
      <c r="B636" s="1"/>
      <c r="C636" s="1"/>
      <c r="D636" s="1"/>
      <c r="G636" s="113"/>
      <c r="H636" s="1"/>
      <c r="I636" s="1"/>
      <c r="J636" s="136"/>
      <c r="M636" s="1"/>
      <c r="P636" s="1"/>
      <c r="Q636" s="1"/>
      <c r="U636" s="1"/>
      <c r="AA636" s="1"/>
    </row>
    <row r="637" ht="15.75" customHeight="1">
      <c r="A637" s="1"/>
      <c r="B637" s="1"/>
      <c r="C637" s="1"/>
      <c r="D637" s="1"/>
      <c r="G637" s="113"/>
      <c r="H637" s="1"/>
      <c r="I637" s="1"/>
      <c r="J637" s="136"/>
      <c r="M637" s="1"/>
      <c r="P637" s="1"/>
      <c r="Q637" s="1"/>
      <c r="U637" s="1"/>
      <c r="AA637" s="1"/>
    </row>
    <row r="638" ht="15.75" customHeight="1">
      <c r="A638" s="1"/>
      <c r="B638" s="1"/>
      <c r="C638" s="1"/>
      <c r="D638" s="1"/>
      <c r="G638" s="113"/>
      <c r="H638" s="1"/>
      <c r="I638" s="1"/>
      <c r="J638" s="136"/>
      <c r="M638" s="1"/>
      <c r="P638" s="1"/>
      <c r="Q638" s="1"/>
      <c r="U638" s="1"/>
      <c r="AA638" s="1"/>
    </row>
    <row r="639" ht="15.75" customHeight="1">
      <c r="A639" s="1"/>
      <c r="B639" s="1"/>
      <c r="C639" s="1"/>
      <c r="D639" s="1"/>
      <c r="G639" s="113"/>
      <c r="H639" s="1"/>
      <c r="I639" s="1"/>
      <c r="J639" s="136"/>
      <c r="M639" s="1"/>
      <c r="P639" s="1"/>
      <c r="Q639" s="1"/>
      <c r="U639" s="1"/>
      <c r="AA639" s="1"/>
    </row>
    <row r="640" ht="15.75" customHeight="1">
      <c r="A640" s="1"/>
      <c r="B640" s="1"/>
      <c r="C640" s="1"/>
      <c r="D640" s="1"/>
      <c r="G640" s="113"/>
      <c r="H640" s="1"/>
      <c r="I640" s="1"/>
      <c r="J640" s="136"/>
      <c r="M640" s="1"/>
      <c r="P640" s="1"/>
      <c r="Q640" s="1"/>
      <c r="U640" s="1"/>
      <c r="AA640" s="1"/>
    </row>
    <row r="641" ht="15.75" customHeight="1">
      <c r="A641" s="1"/>
      <c r="B641" s="1"/>
      <c r="C641" s="1"/>
      <c r="D641" s="1"/>
      <c r="G641" s="113"/>
      <c r="H641" s="1"/>
      <c r="I641" s="1"/>
      <c r="J641" s="136"/>
      <c r="M641" s="1"/>
      <c r="P641" s="1"/>
      <c r="Q641" s="1"/>
      <c r="U641" s="1"/>
      <c r="AA641" s="1"/>
    </row>
    <row r="642" ht="15.75" customHeight="1">
      <c r="A642" s="1"/>
      <c r="B642" s="1"/>
      <c r="C642" s="1"/>
      <c r="D642" s="1"/>
      <c r="G642" s="113"/>
      <c r="H642" s="1"/>
      <c r="I642" s="1"/>
      <c r="J642" s="136"/>
      <c r="M642" s="1"/>
      <c r="P642" s="1"/>
      <c r="Q642" s="1"/>
      <c r="U642" s="1"/>
      <c r="AA642" s="1"/>
    </row>
    <row r="643" ht="15.75" customHeight="1">
      <c r="A643" s="1"/>
      <c r="B643" s="1"/>
      <c r="C643" s="1"/>
      <c r="D643" s="1"/>
      <c r="G643" s="113"/>
      <c r="H643" s="1"/>
      <c r="I643" s="1"/>
      <c r="J643" s="136"/>
      <c r="M643" s="1"/>
      <c r="P643" s="1"/>
      <c r="Q643" s="1"/>
      <c r="U643" s="1"/>
      <c r="AA643" s="1"/>
    </row>
    <row r="644" ht="15.75" customHeight="1">
      <c r="A644" s="1"/>
      <c r="B644" s="1"/>
      <c r="C644" s="1"/>
      <c r="D644" s="1"/>
      <c r="G644" s="113"/>
      <c r="H644" s="1"/>
      <c r="I644" s="1"/>
      <c r="J644" s="136"/>
      <c r="M644" s="1"/>
      <c r="P644" s="1"/>
      <c r="Q644" s="1"/>
      <c r="U644" s="1"/>
      <c r="AA644" s="1"/>
    </row>
    <row r="645" ht="15.75" customHeight="1">
      <c r="A645" s="1"/>
      <c r="B645" s="1"/>
      <c r="C645" s="1"/>
      <c r="D645" s="1"/>
      <c r="G645" s="113"/>
      <c r="H645" s="1"/>
      <c r="I645" s="1"/>
      <c r="J645" s="136"/>
      <c r="M645" s="1"/>
      <c r="P645" s="1"/>
      <c r="Q645" s="1"/>
      <c r="U645" s="1"/>
      <c r="AA645" s="1"/>
    </row>
    <row r="646" ht="15.75" customHeight="1">
      <c r="A646" s="1"/>
      <c r="B646" s="1"/>
      <c r="C646" s="1"/>
      <c r="D646" s="1"/>
      <c r="G646" s="113"/>
      <c r="H646" s="1"/>
      <c r="I646" s="1"/>
      <c r="J646" s="136"/>
      <c r="M646" s="1"/>
      <c r="P646" s="1"/>
      <c r="Q646" s="1"/>
      <c r="U646" s="1"/>
      <c r="AA646" s="1"/>
    </row>
    <row r="647" ht="15.75" customHeight="1">
      <c r="A647" s="1"/>
      <c r="B647" s="1"/>
      <c r="C647" s="1"/>
      <c r="D647" s="1"/>
      <c r="G647" s="113"/>
      <c r="H647" s="1"/>
      <c r="I647" s="1"/>
      <c r="J647" s="136"/>
      <c r="M647" s="1"/>
      <c r="P647" s="1"/>
      <c r="Q647" s="1"/>
      <c r="U647" s="1"/>
      <c r="AA647" s="1"/>
    </row>
    <row r="648" ht="15.75" customHeight="1">
      <c r="A648" s="1"/>
      <c r="B648" s="1"/>
      <c r="C648" s="1"/>
      <c r="D648" s="1"/>
      <c r="G648" s="113"/>
      <c r="H648" s="1"/>
      <c r="I648" s="1"/>
      <c r="J648" s="136"/>
      <c r="M648" s="1"/>
      <c r="P648" s="1"/>
      <c r="Q648" s="1"/>
      <c r="U648" s="1"/>
      <c r="AA648" s="1"/>
    </row>
    <row r="649" ht="15.75" customHeight="1">
      <c r="A649" s="1"/>
      <c r="B649" s="1"/>
      <c r="C649" s="1"/>
      <c r="D649" s="1"/>
      <c r="G649" s="113"/>
      <c r="H649" s="1"/>
      <c r="I649" s="1"/>
      <c r="J649" s="136"/>
      <c r="M649" s="1"/>
      <c r="P649" s="1"/>
      <c r="Q649" s="1"/>
      <c r="U649" s="1"/>
      <c r="AA649" s="1"/>
    </row>
    <row r="650" ht="15.75" customHeight="1">
      <c r="A650" s="1"/>
      <c r="B650" s="1"/>
      <c r="C650" s="1"/>
      <c r="D650" s="1"/>
      <c r="G650" s="113"/>
      <c r="H650" s="1"/>
      <c r="I650" s="1"/>
      <c r="J650" s="136"/>
      <c r="M650" s="1"/>
      <c r="P650" s="1"/>
      <c r="Q650" s="1"/>
      <c r="U650" s="1"/>
      <c r="AA650" s="1"/>
    </row>
    <row r="651" ht="15.75" customHeight="1">
      <c r="A651" s="1"/>
      <c r="B651" s="1"/>
      <c r="C651" s="1"/>
      <c r="D651" s="1"/>
      <c r="G651" s="113"/>
      <c r="H651" s="1"/>
      <c r="I651" s="1"/>
      <c r="J651" s="136"/>
      <c r="M651" s="1"/>
      <c r="P651" s="1"/>
      <c r="Q651" s="1"/>
      <c r="U651" s="1"/>
      <c r="AA651" s="1"/>
    </row>
    <row r="652" ht="15.75" customHeight="1">
      <c r="A652" s="1"/>
      <c r="B652" s="1"/>
      <c r="C652" s="1"/>
      <c r="D652" s="1"/>
      <c r="G652" s="113"/>
      <c r="H652" s="1"/>
      <c r="I652" s="1"/>
      <c r="J652" s="136"/>
      <c r="M652" s="1"/>
      <c r="P652" s="1"/>
      <c r="Q652" s="1"/>
      <c r="U652" s="1"/>
      <c r="AA652" s="1"/>
    </row>
    <row r="653" ht="15.75" customHeight="1">
      <c r="A653" s="1"/>
      <c r="B653" s="1"/>
      <c r="C653" s="1"/>
      <c r="D653" s="1"/>
      <c r="G653" s="113"/>
      <c r="H653" s="1"/>
      <c r="I653" s="1"/>
      <c r="J653" s="136"/>
      <c r="M653" s="1"/>
      <c r="P653" s="1"/>
      <c r="Q653" s="1"/>
      <c r="U653" s="1"/>
      <c r="AA653" s="1"/>
    </row>
    <row r="654" ht="15.75" customHeight="1">
      <c r="A654" s="1"/>
      <c r="B654" s="1"/>
      <c r="C654" s="1"/>
      <c r="D654" s="1"/>
      <c r="G654" s="113"/>
      <c r="H654" s="1"/>
      <c r="I654" s="1"/>
      <c r="J654" s="136"/>
      <c r="M654" s="1"/>
      <c r="P654" s="1"/>
      <c r="Q654" s="1"/>
      <c r="U654" s="1"/>
      <c r="AA654" s="1"/>
    </row>
    <row r="655" ht="15.75" customHeight="1">
      <c r="A655" s="1"/>
      <c r="B655" s="1"/>
      <c r="C655" s="1"/>
      <c r="D655" s="1"/>
      <c r="G655" s="113"/>
      <c r="H655" s="1"/>
      <c r="I655" s="1"/>
      <c r="J655" s="136"/>
      <c r="M655" s="1"/>
      <c r="P655" s="1"/>
      <c r="Q655" s="1"/>
      <c r="U655" s="1"/>
      <c r="AA655" s="1"/>
    </row>
    <row r="656" ht="15.75" customHeight="1">
      <c r="A656" s="1"/>
      <c r="B656" s="1"/>
      <c r="C656" s="1"/>
      <c r="D656" s="1"/>
      <c r="G656" s="113"/>
      <c r="H656" s="1"/>
      <c r="I656" s="1"/>
      <c r="J656" s="136"/>
      <c r="M656" s="1"/>
      <c r="P656" s="1"/>
      <c r="Q656" s="1"/>
      <c r="U656" s="1"/>
      <c r="AA656" s="1"/>
    </row>
    <row r="657" ht="15.75" customHeight="1">
      <c r="A657" s="1"/>
      <c r="B657" s="1"/>
      <c r="C657" s="1"/>
      <c r="D657" s="1"/>
      <c r="G657" s="113"/>
      <c r="H657" s="1"/>
      <c r="I657" s="1"/>
      <c r="J657" s="136"/>
      <c r="M657" s="1"/>
      <c r="P657" s="1"/>
      <c r="Q657" s="1"/>
      <c r="U657" s="1"/>
      <c r="AA657" s="1"/>
    </row>
    <row r="658" ht="15.75" customHeight="1">
      <c r="A658" s="1"/>
      <c r="B658" s="1"/>
      <c r="C658" s="1"/>
      <c r="D658" s="1"/>
      <c r="G658" s="113"/>
      <c r="H658" s="1"/>
      <c r="I658" s="1"/>
      <c r="J658" s="136"/>
      <c r="M658" s="1"/>
      <c r="P658" s="1"/>
      <c r="Q658" s="1"/>
      <c r="U658" s="1"/>
      <c r="AA658" s="1"/>
    </row>
    <row r="659" ht="15.75" customHeight="1">
      <c r="A659" s="1"/>
      <c r="B659" s="1"/>
      <c r="C659" s="1"/>
      <c r="D659" s="1"/>
      <c r="G659" s="113"/>
      <c r="H659" s="1"/>
      <c r="I659" s="1"/>
      <c r="J659" s="136"/>
      <c r="M659" s="1"/>
      <c r="P659" s="1"/>
      <c r="Q659" s="1"/>
      <c r="U659" s="1"/>
      <c r="AA659" s="1"/>
    </row>
    <row r="660" ht="15.75" customHeight="1">
      <c r="A660" s="1"/>
      <c r="B660" s="1"/>
      <c r="C660" s="1"/>
      <c r="D660" s="1"/>
      <c r="G660" s="113"/>
      <c r="H660" s="1"/>
      <c r="I660" s="1"/>
      <c r="J660" s="136"/>
      <c r="M660" s="1"/>
      <c r="P660" s="1"/>
      <c r="Q660" s="1"/>
      <c r="U660" s="1"/>
      <c r="AA660" s="1"/>
    </row>
    <row r="661" ht="15.75" customHeight="1">
      <c r="A661" s="1"/>
      <c r="B661" s="1"/>
      <c r="C661" s="1"/>
      <c r="D661" s="1"/>
      <c r="G661" s="113"/>
      <c r="H661" s="1"/>
      <c r="I661" s="1"/>
      <c r="J661" s="136"/>
      <c r="M661" s="1"/>
      <c r="P661" s="1"/>
      <c r="Q661" s="1"/>
      <c r="U661" s="1"/>
      <c r="AA661" s="1"/>
    </row>
    <row r="662" ht="15.75" customHeight="1">
      <c r="A662" s="1"/>
      <c r="B662" s="1"/>
      <c r="C662" s="1"/>
      <c r="D662" s="1"/>
      <c r="G662" s="113"/>
      <c r="H662" s="1"/>
      <c r="I662" s="1"/>
      <c r="J662" s="136"/>
      <c r="M662" s="1"/>
      <c r="P662" s="1"/>
      <c r="Q662" s="1"/>
      <c r="U662" s="1"/>
      <c r="AA662" s="1"/>
    </row>
    <row r="663" ht="15.75" customHeight="1">
      <c r="A663" s="1"/>
      <c r="B663" s="1"/>
      <c r="C663" s="1"/>
      <c r="D663" s="1"/>
      <c r="G663" s="113"/>
      <c r="H663" s="1"/>
      <c r="I663" s="1"/>
      <c r="J663" s="136"/>
      <c r="M663" s="1"/>
      <c r="P663" s="1"/>
      <c r="Q663" s="1"/>
      <c r="U663" s="1"/>
      <c r="AA663" s="1"/>
    </row>
    <row r="664" ht="15.75" customHeight="1">
      <c r="A664" s="1"/>
      <c r="B664" s="1"/>
      <c r="C664" s="1"/>
      <c r="D664" s="1"/>
      <c r="G664" s="113"/>
      <c r="H664" s="1"/>
      <c r="I664" s="1"/>
      <c r="J664" s="136"/>
      <c r="M664" s="1"/>
      <c r="P664" s="1"/>
      <c r="Q664" s="1"/>
      <c r="U664" s="1"/>
      <c r="AA664" s="1"/>
    </row>
    <row r="665" ht="15.75" customHeight="1">
      <c r="A665" s="1"/>
      <c r="B665" s="1"/>
      <c r="C665" s="1"/>
      <c r="D665" s="1"/>
      <c r="G665" s="113"/>
      <c r="H665" s="1"/>
      <c r="I665" s="1"/>
      <c r="J665" s="136"/>
      <c r="M665" s="1"/>
      <c r="P665" s="1"/>
      <c r="Q665" s="1"/>
      <c r="U665" s="1"/>
      <c r="AA665" s="1"/>
    </row>
    <row r="666" ht="15.75" customHeight="1">
      <c r="A666" s="1"/>
      <c r="B666" s="1"/>
      <c r="C666" s="1"/>
      <c r="D666" s="1"/>
      <c r="G666" s="113"/>
      <c r="H666" s="1"/>
      <c r="I666" s="1"/>
      <c r="J666" s="136"/>
      <c r="M666" s="1"/>
      <c r="P666" s="1"/>
      <c r="Q666" s="1"/>
      <c r="U666" s="1"/>
      <c r="AA666" s="1"/>
    </row>
    <row r="667" ht="15.75" customHeight="1">
      <c r="A667" s="1"/>
      <c r="B667" s="1"/>
      <c r="C667" s="1"/>
      <c r="D667" s="1"/>
      <c r="G667" s="113"/>
      <c r="H667" s="1"/>
      <c r="I667" s="1"/>
      <c r="J667" s="136"/>
      <c r="M667" s="1"/>
      <c r="P667" s="1"/>
      <c r="Q667" s="1"/>
      <c r="U667" s="1"/>
      <c r="AA667" s="1"/>
    </row>
    <row r="668" ht="15.75" customHeight="1">
      <c r="A668" s="1"/>
      <c r="B668" s="1"/>
      <c r="C668" s="1"/>
      <c r="D668" s="1"/>
      <c r="G668" s="113"/>
      <c r="H668" s="1"/>
      <c r="I668" s="1"/>
      <c r="J668" s="136"/>
      <c r="M668" s="1"/>
      <c r="P668" s="1"/>
      <c r="Q668" s="1"/>
      <c r="U668" s="1"/>
      <c r="AA668" s="1"/>
    </row>
    <row r="669" ht="15.75" customHeight="1">
      <c r="A669" s="1"/>
      <c r="B669" s="1"/>
      <c r="C669" s="1"/>
      <c r="D669" s="1"/>
      <c r="G669" s="113"/>
      <c r="H669" s="1"/>
      <c r="I669" s="1"/>
      <c r="J669" s="136"/>
      <c r="M669" s="1"/>
      <c r="P669" s="1"/>
      <c r="Q669" s="1"/>
      <c r="U669" s="1"/>
      <c r="AA669" s="1"/>
    </row>
    <row r="670" ht="15.75" customHeight="1">
      <c r="A670" s="1"/>
      <c r="B670" s="1"/>
      <c r="C670" s="1"/>
      <c r="D670" s="1"/>
      <c r="G670" s="113"/>
      <c r="H670" s="1"/>
      <c r="I670" s="1"/>
      <c r="J670" s="136"/>
      <c r="M670" s="1"/>
      <c r="P670" s="1"/>
      <c r="Q670" s="1"/>
      <c r="U670" s="1"/>
      <c r="AA670" s="1"/>
    </row>
    <row r="671" ht="15.75" customHeight="1">
      <c r="A671" s="1"/>
      <c r="B671" s="1"/>
      <c r="C671" s="1"/>
      <c r="D671" s="1"/>
      <c r="G671" s="113"/>
      <c r="H671" s="1"/>
      <c r="I671" s="1"/>
      <c r="J671" s="136"/>
      <c r="M671" s="1"/>
      <c r="P671" s="1"/>
      <c r="Q671" s="1"/>
      <c r="U671" s="1"/>
      <c r="AA671" s="1"/>
    </row>
    <row r="672" ht="15.75" customHeight="1">
      <c r="A672" s="1"/>
      <c r="B672" s="1"/>
      <c r="C672" s="1"/>
      <c r="D672" s="1"/>
      <c r="G672" s="113"/>
      <c r="H672" s="1"/>
      <c r="I672" s="1"/>
      <c r="J672" s="136"/>
      <c r="M672" s="1"/>
      <c r="P672" s="1"/>
      <c r="Q672" s="1"/>
      <c r="U672" s="1"/>
      <c r="AA672" s="1"/>
    </row>
    <row r="673" ht="15.75" customHeight="1">
      <c r="A673" s="1"/>
      <c r="B673" s="1"/>
      <c r="C673" s="1"/>
      <c r="D673" s="1"/>
      <c r="G673" s="113"/>
      <c r="H673" s="1"/>
      <c r="I673" s="1"/>
      <c r="J673" s="136"/>
      <c r="M673" s="1"/>
      <c r="P673" s="1"/>
      <c r="Q673" s="1"/>
      <c r="U673" s="1"/>
      <c r="AA673" s="1"/>
    </row>
    <row r="674" ht="15.75" customHeight="1">
      <c r="A674" s="1"/>
      <c r="B674" s="1"/>
      <c r="C674" s="1"/>
      <c r="D674" s="1"/>
      <c r="G674" s="113"/>
      <c r="H674" s="1"/>
      <c r="I674" s="1"/>
      <c r="J674" s="136"/>
      <c r="M674" s="1"/>
      <c r="P674" s="1"/>
      <c r="Q674" s="1"/>
      <c r="U674" s="1"/>
      <c r="AA674" s="1"/>
    </row>
    <row r="675" ht="15.75" customHeight="1">
      <c r="A675" s="1"/>
      <c r="B675" s="1"/>
      <c r="C675" s="1"/>
      <c r="D675" s="1"/>
      <c r="G675" s="113"/>
      <c r="H675" s="1"/>
      <c r="I675" s="1"/>
      <c r="J675" s="136"/>
      <c r="M675" s="1"/>
      <c r="P675" s="1"/>
      <c r="Q675" s="1"/>
      <c r="U675" s="1"/>
      <c r="AA675" s="1"/>
    </row>
    <row r="676" ht="15.75" customHeight="1">
      <c r="A676" s="1"/>
      <c r="B676" s="1"/>
      <c r="C676" s="1"/>
      <c r="D676" s="1"/>
      <c r="G676" s="113"/>
      <c r="H676" s="1"/>
      <c r="I676" s="1"/>
      <c r="J676" s="136"/>
      <c r="M676" s="1"/>
      <c r="P676" s="1"/>
      <c r="Q676" s="1"/>
      <c r="U676" s="1"/>
      <c r="AA676" s="1"/>
    </row>
    <row r="677" ht="15.75" customHeight="1">
      <c r="A677" s="1"/>
      <c r="B677" s="1"/>
      <c r="C677" s="1"/>
      <c r="D677" s="1"/>
      <c r="G677" s="113"/>
      <c r="H677" s="1"/>
      <c r="I677" s="1"/>
      <c r="J677" s="136"/>
      <c r="M677" s="1"/>
      <c r="P677" s="1"/>
      <c r="Q677" s="1"/>
      <c r="U677" s="1"/>
      <c r="AA677" s="1"/>
    </row>
    <row r="678" ht="15.75" customHeight="1">
      <c r="A678" s="1"/>
      <c r="B678" s="1"/>
      <c r="C678" s="1"/>
      <c r="D678" s="1"/>
      <c r="G678" s="113"/>
      <c r="H678" s="1"/>
      <c r="I678" s="1"/>
      <c r="J678" s="136"/>
      <c r="M678" s="1"/>
      <c r="P678" s="1"/>
      <c r="Q678" s="1"/>
      <c r="U678" s="1"/>
      <c r="AA678" s="1"/>
    </row>
    <row r="679" ht="15.75" customHeight="1">
      <c r="A679" s="1"/>
      <c r="B679" s="1"/>
      <c r="C679" s="1"/>
      <c r="D679" s="1"/>
      <c r="G679" s="113"/>
      <c r="H679" s="1"/>
      <c r="I679" s="1"/>
      <c r="J679" s="136"/>
      <c r="M679" s="1"/>
      <c r="P679" s="1"/>
      <c r="Q679" s="1"/>
      <c r="U679" s="1"/>
      <c r="AA679" s="1"/>
    </row>
    <row r="680" ht="15.75" customHeight="1">
      <c r="A680" s="1"/>
      <c r="B680" s="1"/>
      <c r="C680" s="1"/>
      <c r="D680" s="1"/>
      <c r="G680" s="113"/>
      <c r="H680" s="1"/>
      <c r="I680" s="1"/>
      <c r="J680" s="136"/>
      <c r="M680" s="1"/>
      <c r="P680" s="1"/>
      <c r="Q680" s="1"/>
      <c r="U680" s="1"/>
      <c r="AA680" s="1"/>
    </row>
    <row r="681" ht="15.75" customHeight="1">
      <c r="A681" s="1"/>
      <c r="B681" s="1"/>
      <c r="C681" s="1"/>
      <c r="D681" s="1"/>
      <c r="G681" s="113"/>
      <c r="H681" s="1"/>
      <c r="I681" s="1"/>
      <c r="J681" s="136"/>
      <c r="M681" s="1"/>
      <c r="P681" s="1"/>
      <c r="Q681" s="1"/>
      <c r="U681" s="1"/>
      <c r="AA681" s="1"/>
    </row>
    <row r="682" ht="15.75" customHeight="1">
      <c r="A682" s="1"/>
      <c r="B682" s="1"/>
      <c r="C682" s="1"/>
      <c r="D682" s="1"/>
      <c r="G682" s="113"/>
      <c r="H682" s="1"/>
      <c r="I682" s="1"/>
      <c r="J682" s="136"/>
      <c r="M682" s="1"/>
      <c r="P682" s="1"/>
      <c r="Q682" s="1"/>
      <c r="U682" s="1"/>
      <c r="AA682" s="1"/>
    </row>
    <row r="683" ht="15.75" customHeight="1">
      <c r="A683" s="1"/>
      <c r="B683" s="1"/>
      <c r="C683" s="1"/>
      <c r="D683" s="1"/>
      <c r="G683" s="113"/>
      <c r="H683" s="1"/>
      <c r="I683" s="1"/>
      <c r="J683" s="136"/>
      <c r="M683" s="1"/>
      <c r="P683" s="1"/>
      <c r="Q683" s="1"/>
      <c r="U683" s="1"/>
      <c r="AA683" s="1"/>
    </row>
    <row r="684" ht="15.75" customHeight="1">
      <c r="A684" s="1"/>
      <c r="B684" s="1"/>
      <c r="C684" s="1"/>
      <c r="D684" s="1"/>
      <c r="G684" s="113"/>
      <c r="H684" s="1"/>
      <c r="I684" s="1"/>
      <c r="J684" s="136"/>
      <c r="M684" s="1"/>
      <c r="P684" s="1"/>
      <c r="Q684" s="1"/>
      <c r="U684" s="1"/>
      <c r="AA684" s="1"/>
    </row>
    <row r="685" ht="15.75" customHeight="1">
      <c r="A685" s="1"/>
      <c r="B685" s="1"/>
      <c r="C685" s="1"/>
      <c r="D685" s="1"/>
      <c r="G685" s="113"/>
      <c r="H685" s="1"/>
      <c r="I685" s="1"/>
      <c r="J685" s="136"/>
      <c r="M685" s="1"/>
      <c r="P685" s="1"/>
      <c r="Q685" s="1"/>
      <c r="U685" s="1"/>
      <c r="AA685" s="1"/>
    </row>
    <row r="686" ht="15.75" customHeight="1">
      <c r="A686" s="1"/>
      <c r="B686" s="1"/>
      <c r="C686" s="1"/>
      <c r="D686" s="1"/>
      <c r="G686" s="113"/>
      <c r="H686" s="1"/>
      <c r="I686" s="1"/>
      <c r="J686" s="136"/>
      <c r="M686" s="1"/>
      <c r="P686" s="1"/>
      <c r="Q686" s="1"/>
      <c r="U686" s="1"/>
      <c r="AA686" s="1"/>
    </row>
    <row r="687" ht="15.75" customHeight="1">
      <c r="A687" s="1"/>
      <c r="B687" s="1"/>
      <c r="C687" s="1"/>
      <c r="D687" s="1"/>
      <c r="G687" s="113"/>
      <c r="H687" s="1"/>
      <c r="I687" s="1"/>
      <c r="J687" s="136"/>
      <c r="M687" s="1"/>
      <c r="P687" s="1"/>
      <c r="Q687" s="1"/>
      <c r="U687" s="1"/>
      <c r="AA687" s="1"/>
    </row>
    <row r="688" ht="15.75" customHeight="1">
      <c r="A688" s="1"/>
      <c r="B688" s="1"/>
      <c r="C688" s="1"/>
      <c r="D688" s="1"/>
      <c r="G688" s="113"/>
      <c r="H688" s="1"/>
      <c r="I688" s="1"/>
      <c r="J688" s="136"/>
      <c r="M688" s="1"/>
      <c r="P688" s="1"/>
      <c r="Q688" s="1"/>
      <c r="U688" s="1"/>
      <c r="AA688" s="1"/>
    </row>
    <row r="689" ht="15.75" customHeight="1">
      <c r="A689" s="1"/>
      <c r="B689" s="1"/>
      <c r="C689" s="1"/>
      <c r="D689" s="1"/>
      <c r="G689" s="113"/>
      <c r="H689" s="1"/>
      <c r="I689" s="1"/>
      <c r="J689" s="136"/>
      <c r="M689" s="1"/>
      <c r="P689" s="1"/>
      <c r="Q689" s="1"/>
      <c r="U689" s="1"/>
      <c r="AA689" s="1"/>
    </row>
    <row r="690" ht="15.75" customHeight="1">
      <c r="A690" s="1"/>
      <c r="B690" s="1"/>
      <c r="C690" s="1"/>
      <c r="D690" s="1"/>
      <c r="G690" s="113"/>
      <c r="H690" s="1"/>
      <c r="I690" s="1"/>
      <c r="J690" s="136"/>
      <c r="M690" s="1"/>
      <c r="P690" s="1"/>
      <c r="Q690" s="1"/>
      <c r="U690" s="1"/>
      <c r="AA690" s="1"/>
    </row>
    <row r="691" ht="15.75" customHeight="1">
      <c r="A691" s="1"/>
      <c r="B691" s="1"/>
      <c r="C691" s="1"/>
      <c r="D691" s="1"/>
      <c r="G691" s="113"/>
      <c r="H691" s="1"/>
      <c r="I691" s="1"/>
      <c r="J691" s="136"/>
      <c r="M691" s="1"/>
      <c r="P691" s="1"/>
      <c r="Q691" s="1"/>
      <c r="U691" s="1"/>
      <c r="AA691" s="1"/>
    </row>
    <row r="692" ht="15.75" customHeight="1">
      <c r="A692" s="1"/>
      <c r="B692" s="1"/>
      <c r="C692" s="1"/>
      <c r="D692" s="1"/>
      <c r="G692" s="113"/>
      <c r="H692" s="1"/>
      <c r="I692" s="1"/>
      <c r="J692" s="136"/>
      <c r="M692" s="1"/>
      <c r="P692" s="1"/>
      <c r="Q692" s="1"/>
      <c r="U692" s="1"/>
      <c r="AA692" s="1"/>
    </row>
    <row r="693" ht="15.75" customHeight="1">
      <c r="A693" s="1"/>
      <c r="B693" s="1"/>
      <c r="C693" s="1"/>
      <c r="D693" s="1"/>
      <c r="G693" s="113"/>
      <c r="H693" s="1"/>
      <c r="I693" s="1"/>
      <c r="J693" s="136"/>
      <c r="M693" s="1"/>
      <c r="P693" s="1"/>
      <c r="Q693" s="1"/>
      <c r="U693" s="1"/>
      <c r="AA693" s="1"/>
    </row>
    <row r="694" ht="15.75" customHeight="1">
      <c r="A694" s="1"/>
      <c r="B694" s="1"/>
      <c r="C694" s="1"/>
      <c r="D694" s="1"/>
      <c r="G694" s="113"/>
      <c r="H694" s="1"/>
      <c r="I694" s="1"/>
      <c r="J694" s="136"/>
      <c r="M694" s="1"/>
      <c r="P694" s="1"/>
      <c r="Q694" s="1"/>
      <c r="U694" s="1"/>
      <c r="AA694" s="1"/>
    </row>
    <row r="695" ht="15.75" customHeight="1">
      <c r="A695" s="1"/>
      <c r="B695" s="1"/>
      <c r="C695" s="1"/>
      <c r="D695" s="1"/>
      <c r="G695" s="113"/>
      <c r="H695" s="1"/>
      <c r="I695" s="1"/>
      <c r="J695" s="136"/>
      <c r="M695" s="1"/>
      <c r="P695" s="1"/>
      <c r="Q695" s="1"/>
      <c r="U695" s="1"/>
      <c r="AA695" s="1"/>
    </row>
    <row r="696" ht="15.75" customHeight="1">
      <c r="A696" s="1"/>
      <c r="B696" s="1"/>
      <c r="C696" s="1"/>
      <c r="D696" s="1"/>
      <c r="G696" s="113"/>
      <c r="H696" s="1"/>
      <c r="I696" s="1"/>
      <c r="J696" s="136"/>
      <c r="M696" s="1"/>
      <c r="P696" s="1"/>
      <c r="Q696" s="1"/>
      <c r="U696" s="1"/>
      <c r="AA696" s="1"/>
    </row>
    <row r="697" ht="15.75" customHeight="1">
      <c r="A697" s="1"/>
      <c r="B697" s="1"/>
      <c r="C697" s="1"/>
      <c r="D697" s="1"/>
      <c r="G697" s="113"/>
      <c r="H697" s="1"/>
      <c r="I697" s="1"/>
      <c r="J697" s="136"/>
      <c r="M697" s="1"/>
      <c r="P697" s="1"/>
      <c r="Q697" s="1"/>
      <c r="U697" s="1"/>
      <c r="AA697" s="1"/>
    </row>
    <row r="698" ht="15.75" customHeight="1">
      <c r="A698" s="1"/>
      <c r="B698" s="1"/>
      <c r="C698" s="1"/>
      <c r="D698" s="1"/>
      <c r="G698" s="113"/>
      <c r="H698" s="1"/>
      <c r="I698" s="1"/>
      <c r="J698" s="136"/>
      <c r="M698" s="1"/>
      <c r="P698" s="1"/>
      <c r="Q698" s="1"/>
      <c r="U698" s="1"/>
      <c r="AA698" s="1"/>
    </row>
    <row r="699" ht="15.75" customHeight="1">
      <c r="A699" s="1"/>
      <c r="B699" s="1"/>
      <c r="C699" s="1"/>
      <c r="D699" s="1"/>
      <c r="G699" s="113"/>
      <c r="H699" s="1"/>
      <c r="I699" s="1"/>
      <c r="J699" s="136"/>
      <c r="M699" s="1"/>
      <c r="P699" s="1"/>
      <c r="Q699" s="1"/>
      <c r="U699" s="1"/>
      <c r="AA699" s="1"/>
    </row>
    <row r="700" ht="15.75" customHeight="1">
      <c r="A700" s="1"/>
      <c r="B700" s="1"/>
      <c r="C700" s="1"/>
      <c r="D700" s="1"/>
      <c r="G700" s="113"/>
      <c r="H700" s="1"/>
      <c r="I700" s="1"/>
      <c r="J700" s="136"/>
      <c r="M700" s="1"/>
      <c r="P700" s="1"/>
      <c r="Q700" s="1"/>
      <c r="U700" s="1"/>
      <c r="AA700" s="1"/>
    </row>
    <row r="701" ht="15.75" customHeight="1">
      <c r="A701" s="1"/>
      <c r="B701" s="1"/>
      <c r="C701" s="1"/>
      <c r="D701" s="1"/>
      <c r="G701" s="113"/>
      <c r="H701" s="1"/>
      <c r="I701" s="1"/>
      <c r="J701" s="136"/>
      <c r="M701" s="1"/>
      <c r="P701" s="1"/>
      <c r="Q701" s="1"/>
      <c r="U701" s="1"/>
      <c r="AA701" s="1"/>
    </row>
    <row r="702" ht="15.75" customHeight="1">
      <c r="A702" s="1"/>
      <c r="B702" s="1"/>
      <c r="C702" s="1"/>
      <c r="D702" s="1"/>
      <c r="G702" s="113"/>
      <c r="H702" s="1"/>
      <c r="I702" s="1"/>
      <c r="J702" s="136"/>
      <c r="M702" s="1"/>
      <c r="P702" s="1"/>
      <c r="Q702" s="1"/>
      <c r="U702" s="1"/>
      <c r="AA702" s="1"/>
    </row>
    <row r="703" ht="15.75" customHeight="1">
      <c r="A703" s="1"/>
      <c r="B703" s="1"/>
      <c r="C703" s="1"/>
      <c r="D703" s="1"/>
      <c r="G703" s="113"/>
      <c r="H703" s="1"/>
      <c r="I703" s="1"/>
      <c r="J703" s="136"/>
      <c r="M703" s="1"/>
      <c r="P703" s="1"/>
      <c r="Q703" s="1"/>
      <c r="U703" s="1"/>
      <c r="AA703" s="1"/>
    </row>
    <row r="704" ht="15.75" customHeight="1">
      <c r="A704" s="1"/>
      <c r="B704" s="1"/>
      <c r="C704" s="1"/>
      <c r="D704" s="1"/>
      <c r="G704" s="113"/>
      <c r="H704" s="1"/>
      <c r="I704" s="1"/>
      <c r="J704" s="136"/>
      <c r="M704" s="1"/>
      <c r="P704" s="1"/>
      <c r="Q704" s="1"/>
      <c r="U704" s="1"/>
      <c r="AA704" s="1"/>
    </row>
    <row r="705" ht="15.75" customHeight="1">
      <c r="A705" s="1"/>
      <c r="B705" s="1"/>
      <c r="C705" s="1"/>
      <c r="D705" s="1"/>
      <c r="G705" s="113"/>
      <c r="H705" s="1"/>
      <c r="I705" s="1"/>
      <c r="J705" s="136"/>
      <c r="M705" s="1"/>
      <c r="P705" s="1"/>
      <c r="Q705" s="1"/>
      <c r="U705" s="1"/>
      <c r="AA705" s="1"/>
    </row>
    <row r="706" ht="15.75" customHeight="1">
      <c r="A706" s="1"/>
      <c r="B706" s="1"/>
      <c r="C706" s="1"/>
      <c r="D706" s="1"/>
      <c r="G706" s="113"/>
      <c r="H706" s="1"/>
      <c r="I706" s="1"/>
      <c r="J706" s="136"/>
      <c r="M706" s="1"/>
      <c r="P706" s="1"/>
      <c r="Q706" s="1"/>
      <c r="U706" s="1"/>
      <c r="AA706" s="1"/>
    </row>
    <row r="707" ht="15.75" customHeight="1">
      <c r="A707" s="1"/>
      <c r="B707" s="1"/>
      <c r="C707" s="1"/>
      <c r="D707" s="1"/>
      <c r="G707" s="113"/>
      <c r="H707" s="1"/>
      <c r="I707" s="1"/>
      <c r="J707" s="136"/>
      <c r="M707" s="1"/>
      <c r="P707" s="1"/>
      <c r="Q707" s="1"/>
      <c r="U707" s="1"/>
      <c r="AA707" s="1"/>
    </row>
    <row r="708" ht="15.75" customHeight="1">
      <c r="A708" s="1"/>
      <c r="B708" s="1"/>
      <c r="C708" s="1"/>
      <c r="D708" s="1"/>
      <c r="G708" s="113"/>
      <c r="H708" s="1"/>
      <c r="I708" s="1"/>
      <c r="J708" s="136"/>
      <c r="M708" s="1"/>
      <c r="P708" s="1"/>
      <c r="Q708" s="1"/>
      <c r="U708" s="1"/>
      <c r="AA708" s="1"/>
    </row>
    <row r="709" ht="15.75" customHeight="1">
      <c r="A709" s="1"/>
      <c r="B709" s="1"/>
      <c r="C709" s="1"/>
      <c r="D709" s="1"/>
      <c r="G709" s="113"/>
      <c r="H709" s="1"/>
      <c r="I709" s="1"/>
      <c r="J709" s="136"/>
      <c r="M709" s="1"/>
      <c r="P709" s="1"/>
      <c r="Q709" s="1"/>
      <c r="U709" s="1"/>
      <c r="AA709" s="1"/>
    </row>
    <row r="710" ht="15.75" customHeight="1">
      <c r="A710" s="1"/>
      <c r="B710" s="1"/>
      <c r="C710" s="1"/>
      <c r="D710" s="1"/>
      <c r="G710" s="113"/>
      <c r="H710" s="1"/>
      <c r="I710" s="1"/>
      <c r="J710" s="136"/>
      <c r="M710" s="1"/>
      <c r="P710" s="1"/>
      <c r="Q710" s="1"/>
      <c r="U710" s="1"/>
      <c r="AA710" s="1"/>
    </row>
    <row r="711" ht="15.75" customHeight="1">
      <c r="A711" s="1"/>
      <c r="B711" s="1"/>
      <c r="C711" s="1"/>
      <c r="D711" s="1"/>
      <c r="G711" s="113"/>
      <c r="H711" s="1"/>
      <c r="I711" s="1"/>
      <c r="J711" s="136"/>
      <c r="M711" s="1"/>
      <c r="P711" s="1"/>
      <c r="Q711" s="1"/>
      <c r="U711" s="1"/>
      <c r="AA711" s="1"/>
    </row>
    <row r="712" ht="15.75" customHeight="1">
      <c r="A712" s="1"/>
      <c r="B712" s="1"/>
      <c r="C712" s="1"/>
      <c r="D712" s="1"/>
      <c r="G712" s="113"/>
      <c r="H712" s="1"/>
      <c r="I712" s="1"/>
      <c r="J712" s="136"/>
      <c r="M712" s="1"/>
      <c r="P712" s="1"/>
      <c r="Q712" s="1"/>
      <c r="U712" s="1"/>
      <c r="AA712" s="1"/>
    </row>
    <row r="713" ht="15.75" customHeight="1">
      <c r="A713" s="1"/>
      <c r="B713" s="1"/>
      <c r="C713" s="1"/>
      <c r="D713" s="1"/>
      <c r="G713" s="113"/>
      <c r="H713" s="1"/>
      <c r="I713" s="1"/>
      <c r="J713" s="136"/>
      <c r="M713" s="1"/>
      <c r="P713" s="1"/>
      <c r="Q713" s="1"/>
      <c r="U713" s="1"/>
      <c r="AA713" s="1"/>
    </row>
    <row r="714" ht="15.75" customHeight="1">
      <c r="A714" s="1"/>
      <c r="B714" s="1"/>
      <c r="C714" s="1"/>
      <c r="D714" s="1"/>
      <c r="G714" s="113"/>
      <c r="H714" s="1"/>
      <c r="I714" s="1"/>
      <c r="J714" s="136"/>
      <c r="M714" s="1"/>
      <c r="P714" s="1"/>
      <c r="Q714" s="1"/>
      <c r="U714" s="1"/>
      <c r="AA714" s="1"/>
    </row>
    <row r="715" ht="15.75" customHeight="1">
      <c r="A715" s="1"/>
      <c r="B715" s="1"/>
      <c r="C715" s="1"/>
      <c r="D715" s="1"/>
      <c r="G715" s="113"/>
      <c r="H715" s="1"/>
      <c r="I715" s="1"/>
      <c r="J715" s="136"/>
      <c r="M715" s="1"/>
      <c r="P715" s="1"/>
      <c r="Q715" s="1"/>
      <c r="U715" s="1"/>
      <c r="AA715" s="1"/>
    </row>
    <row r="716" ht="15.75" customHeight="1">
      <c r="A716" s="1"/>
      <c r="B716" s="1"/>
      <c r="C716" s="1"/>
      <c r="D716" s="1"/>
      <c r="G716" s="113"/>
      <c r="H716" s="1"/>
      <c r="I716" s="1"/>
      <c r="J716" s="136"/>
      <c r="M716" s="1"/>
      <c r="P716" s="1"/>
      <c r="Q716" s="1"/>
      <c r="U716" s="1"/>
      <c r="AA716" s="1"/>
    </row>
    <row r="717" ht="15.75" customHeight="1">
      <c r="A717" s="1"/>
      <c r="B717" s="1"/>
      <c r="C717" s="1"/>
      <c r="D717" s="1"/>
      <c r="G717" s="113"/>
      <c r="H717" s="1"/>
      <c r="I717" s="1"/>
      <c r="J717" s="136"/>
      <c r="M717" s="1"/>
      <c r="P717" s="1"/>
      <c r="Q717" s="1"/>
      <c r="U717" s="1"/>
      <c r="AA717" s="1"/>
    </row>
    <row r="718" ht="15.75" customHeight="1">
      <c r="A718" s="1"/>
      <c r="B718" s="1"/>
      <c r="C718" s="1"/>
      <c r="D718" s="1"/>
      <c r="G718" s="113"/>
      <c r="H718" s="1"/>
      <c r="I718" s="1"/>
      <c r="J718" s="136"/>
      <c r="M718" s="1"/>
      <c r="P718" s="1"/>
      <c r="Q718" s="1"/>
      <c r="U718" s="1"/>
      <c r="AA718" s="1"/>
    </row>
    <row r="719" ht="15.75" customHeight="1">
      <c r="A719" s="1"/>
      <c r="B719" s="1"/>
      <c r="C719" s="1"/>
      <c r="D719" s="1"/>
      <c r="G719" s="113"/>
      <c r="H719" s="1"/>
      <c r="I719" s="1"/>
      <c r="J719" s="136"/>
      <c r="M719" s="1"/>
      <c r="P719" s="1"/>
      <c r="Q719" s="1"/>
      <c r="U719" s="1"/>
      <c r="AA719" s="1"/>
    </row>
    <row r="720" ht="15.75" customHeight="1">
      <c r="A720" s="1"/>
      <c r="B720" s="1"/>
      <c r="C720" s="1"/>
      <c r="D720" s="1"/>
      <c r="G720" s="113"/>
      <c r="H720" s="1"/>
      <c r="I720" s="1"/>
      <c r="J720" s="136"/>
      <c r="M720" s="1"/>
      <c r="P720" s="1"/>
      <c r="Q720" s="1"/>
      <c r="U720" s="1"/>
      <c r="AA720" s="1"/>
    </row>
    <row r="721" ht="15.75" customHeight="1">
      <c r="A721" s="1"/>
      <c r="B721" s="1"/>
      <c r="C721" s="1"/>
      <c r="D721" s="1"/>
      <c r="G721" s="113"/>
      <c r="H721" s="1"/>
      <c r="I721" s="1"/>
      <c r="J721" s="136"/>
      <c r="M721" s="1"/>
      <c r="P721" s="1"/>
      <c r="Q721" s="1"/>
      <c r="U721" s="1"/>
      <c r="AA721" s="1"/>
    </row>
    <row r="722" ht="15.75" customHeight="1">
      <c r="A722" s="1"/>
      <c r="B722" s="1"/>
      <c r="C722" s="1"/>
      <c r="D722" s="1"/>
      <c r="G722" s="113"/>
      <c r="H722" s="1"/>
      <c r="I722" s="1"/>
      <c r="J722" s="136"/>
      <c r="M722" s="1"/>
      <c r="P722" s="1"/>
      <c r="Q722" s="1"/>
      <c r="U722" s="1"/>
      <c r="AA722" s="1"/>
    </row>
    <row r="723" ht="15.75" customHeight="1">
      <c r="A723" s="1"/>
      <c r="B723" s="1"/>
      <c r="C723" s="1"/>
      <c r="D723" s="1"/>
      <c r="G723" s="113"/>
      <c r="H723" s="1"/>
      <c r="I723" s="1"/>
      <c r="J723" s="136"/>
      <c r="M723" s="1"/>
      <c r="P723" s="1"/>
      <c r="Q723" s="1"/>
      <c r="U723" s="1"/>
      <c r="AA723" s="1"/>
    </row>
    <row r="724" ht="15.75" customHeight="1">
      <c r="A724" s="1"/>
      <c r="B724" s="1"/>
      <c r="C724" s="1"/>
      <c r="D724" s="1"/>
      <c r="G724" s="113"/>
      <c r="H724" s="1"/>
      <c r="I724" s="1"/>
      <c r="J724" s="136"/>
      <c r="M724" s="1"/>
      <c r="P724" s="1"/>
      <c r="Q724" s="1"/>
      <c r="U724" s="1"/>
      <c r="AA724" s="1"/>
    </row>
    <row r="725" ht="15.75" customHeight="1">
      <c r="A725" s="1"/>
      <c r="B725" s="1"/>
      <c r="C725" s="1"/>
      <c r="D725" s="1"/>
      <c r="G725" s="113"/>
      <c r="H725" s="1"/>
      <c r="I725" s="1"/>
      <c r="J725" s="136"/>
      <c r="M725" s="1"/>
      <c r="P725" s="1"/>
      <c r="Q725" s="1"/>
      <c r="U725" s="1"/>
      <c r="AA725" s="1"/>
    </row>
    <row r="726" ht="15.75" customHeight="1">
      <c r="A726" s="1"/>
      <c r="B726" s="1"/>
      <c r="C726" s="1"/>
      <c r="D726" s="1"/>
      <c r="G726" s="113"/>
      <c r="H726" s="1"/>
      <c r="I726" s="1"/>
      <c r="J726" s="136"/>
      <c r="M726" s="1"/>
      <c r="P726" s="1"/>
      <c r="Q726" s="1"/>
      <c r="U726" s="1"/>
      <c r="AA726" s="1"/>
    </row>
    <row r="727" ht="15.75" customHeight="1">
      <c r="A727" s="1"/>
      <c r="B727" s="1"/>
      <c r="C727" s="1"/>
      <c r="D727" s="1"/>
      <c r="G727" s="113"/>
      <c r="H727" s="1"/>
      <c r="I727" s="1"/>
      <c r="J727" s="136"/>
      <c r="M727" s="1"/>
      <c r="P727" s="1"/>
      <c r="Q727" s="1"/>
      <c r="U727" s="1"/>
      <c r="AA727" s="1"/>
    </row>
    <row r="728" ht="15.75" customHeight="1">
      <c r="A728" s="1"/>
      <c r="B728" s="1"/>
      <c r="C728" s="1"/>
      <c r="D728" s="1"/>
      <c r="G728" s="113"/>
      <c r="H728" s="1"/>
      <c r="I728" s="1"/>
      <c r="J728" s="136"/>
      <c r="M728" s="1"/>
      <c r="P728" s="1"/>
      <c r="Q728" s="1"/>
      <c r="U728" s="1"/>
      <c r="AA728" s="1"/>
    </row>
    <row r="729" ht="15.75" customHeight="1">
      <c r="A729" s="1"/>
      <c r="B729" s="1"/>
      <c r="C729" s="1"/>
      <c r="D729" s="1"/>
      <c r="G729" s="113"/>
      <c r="H729" s="1"/>
      <c r="I729" s="1"/>
      <c r="J729" s="136"/>
      <c r="M729" s="1"/>
      <c r="P729" s="1"/>
      <c r="Q729" s="1"/>
      <c r="U729" s="1"/>
      <c r="AA729" s="1"/>
    </row>
    <row r="730" ht="15.75" customHeight="1">
      <c r="A730" s="1"/>
      <c r="B730" s="1"/>
      <c r="C730" s="1"/>
      <c r="D730" s="1"/>
      <c r="G730" s="113"/>
      <c r="H730" s="1"/>
      <c r="I730" s="1"/>
      <c r="J730" s="136"/>
      <c r="M730" s="1"/>
      <c r="P730" s="1"/>
      <c r="Q730" s="1"/>
      <c r="U730" s="1"/>
      <c r="AA730" s="1"/>
    </row>
    <row r="731" ht="15.75" customHeight="1">
      <c r="A731" s="1"/>
      <c r="B731" s="1"/>
      <c r="C731" s="1"/>
      <c r="D731" s="1"/>
      <c r="G731" s="113"/>
      <c r="H731" s="1"/>
      <c r="I731" s="1"/>
      <c r="J731" s="136"/>
      <c r="M731" s="1"/>
      <c r="P731" s="1"/>
      <c r="Q731" s="1"/>
      <c r="U731" s="1"/>
      <c r="AA731" s="1"/>
    </row>
    <row r="732" ht="15.75" customHeight="1">
      <c r="A732" s="1"/>
      <c r="B732" s="1"/>
      <c r="C732" s="1"/>
      <c r="D732" s="1"/>
      <c r="G732" s="113"/>
      <c r="H732" s="1"/>
      <c r="I732" s="1"/>
      <c r="J732" s="136"/>
      <c r="M732" s="1"/>
      <c r="P732" s="1"/>
      <c r="Q732" s="1"/>
      <c r="U732" s="1"/>
      <c r="AA732" s="1"/>
    </row>
    <row r="733" ht="15.75" customHeight="1">
      <c r="A733" s="1"/>
      <c r="B733" s="1"/>
      <c r="C733" s="1"/>
      <c r="D733" s="1"/>
      <c r="G733" s="113"/>
      <c r="H733" s="1"/>
      <c r="I733" s="1"/>
      <c r="J733" s="136"/>
      <c r="M733" s="1"/>
      <c r="P733" s="1"/>
      <c r="Q733" s="1"/>
      <c r="U733" s="1"/>
      <c r="AA733" s="1"/>
    </row>
    <row r="734" ht="15.75" customHeight="1">
      <c r="A734" s="1"/>
      <c r="B734" s="1"/>
      <c r="C734" s="1"/>
      <c r="D734" s="1"/>
      <c r="G734" s="113"/>
      <c r="H734" s="1"/>
      <c r="I734" s="1"/>
      <c r="J734" s="136"/>
      <c r="M734" s="1"/>
      <c r="P734" s="1"/>
      <c r="Q734" s="1"/>
      <c r="U734" s="1"/>
      <c r="AA734" s="1"/>
    </row>
    <row r="735" ht="15.75" customHeight="1">
      <c r="A735" s="1"/>
      <c r="B735" s="1"/>
      <c r="C735" s="1"/>
      <c r="D735" s="1"/>
      <c r="G735" s="113"/>
      <c r="H735" s="1"/>
      <c r="I735" s="1"/>
      <c r="J735" s="136"/>
      <c r="M735" s="1"/>
      <c r="P735" s="1"/>
      <c r="Q735" s="1"/>
      <c r="U735" s="1"/>
      <c r="AA735" s="1"/>
    </row>
    <row r="736" ht="15.75" customHeight="1">
      <c r="A736" s="1"/>
      <c r="B736" s="1"/>
      <c r="C736" s="1"/>
      <c r="D736" s="1"/>
      <c r="G736" s="113"/>
      <c r="H736" s="1"/>
      <c r="I736" s="1"/>
      <c r="J736" s="136"/>
      <c r="M736" s="1"/>
      <c r="P736" s="1"/>
      <c r="Q736" s="1"/>
      <c r="U736" s="1"/>
      <c r="AA736" s="1"/>
    </row>
    <row r="737" ht="15.75" customHeight="1">
      <c r="A737" s="1"/>
      <c r="B737" s="1"/>
      <c r="C737" s="1"/>
      <c r="D737" s="1"/>
      <c r="G737" s="113"/>
      <c r="H737" s="1"/>
      <c r="I737" s="1"/>
      <c r="J737" s="136"/>
      <c r="M737" s="1"/>
      <c r="P737" s="1"/>
      <c r="Q737" s="1"/>
      <c r="U737" s="1"/>
      <c r="AA737" s="1"/>
    </row>
    <row r="738" ht="15.75" customHeight="1">
      <c r="A738" s="1"/>
      <c r="B738" s="1"/>
      <c r="C738" s="1"/>
      <c r="D738" s="1"/>
      <c r="G738" s="113"/>
      <c r="H738" s="1"/>
      <c r="I738" s="1"/>
      <c r="J738" s="136"/>
      <c r="M738" s="1"/>
      <c r="P738" s="1"/>
      <c r="Q738" s="1"/>
      <c r="U738" s="1"/>
      <c r="AA738" s="1"/>
    </row>
    <row r="739" ht="15.75" customHeight="1">
      <c r="A739" s="1"/>
      <c r="B739" s="1"/>
      <c r="C739" s="1"/>
      <c r="D739" s="1"/>
      <c r="G739" s="113"/>
      <c r="H739" s="1"/>
      <c r="I739" s="1"/>
      <c r="J739" s="136"/>
      <c r="M739" s="1"/>
      <c r="P739" s="1"/>
      <c r="Q739" s="1"/>
      <c r="U739" s="1"/>
      <c r="AA739" s="1"/>
    </row>
    <row r="740" ht="15.75" customHeight="1">
      <c r="A740" s="1"/>
      <c r="B740" s="1"/>
      <c r="C740" s="1"/>
      <c r="D740" s="1"/>
      <c r="G740" s="113"/>
      <c r="H740" s="1"/>
      <c r="I740" s="1"/>
      <c r="J740" s="136"/>
      <c r="M740" s="1"/>
      <c r="P740" s="1"/>
      <c r="Q740" s="1"/>
      <c r="U740" s="1"/>
      <c r="AA740" s="1"/>
    </row>
    <row r="741" ht="15.75" customHeight="1">
      <c r="A741" s="1"/>
      <c r="B741" s="1"/>
      <c r="C741" s="1"/>
      <c r="D741" s="1"/>
      <c r="G741" s="113"/>
      <c r="H741" s="1"/>
      <c r="I741" s="1"/>
      <c r="J741" s="136"/>
      <c r="M741" s="1"/>
      <c r="P741" s="1"/>
      <c r="Q741" s="1"/>
      <c r="U741" s="1"/>
      <c r="AA741" s="1"/>
    </row>
    <row r="742" ht="15.75" customHeight="1">
      <c r="A742" s="1"/>
      <c r="B742" s="1"/>
      <c r="C742" s="1"/>
      <c r="D742" s="1"/>
      <c r="G742" s="113"/>
      <c r="H742" s="1"/>
      <c r="I742" s="1"/>
      <c r="J742" s="136"/>
      <c r="M742" s="1"/>
      <c r="P742" s="1"/>
      <c r="Q742" s="1"/>
      <c r="U742" s="1"/>
      <c r="AA742" s="1"/>
    </row>
    <row r="743" ht="15.75" customHeight="1">
      <c r="A743" s="1"/>
      <c r="B743" s="1"/>
      <c r="C743" s="1"/>
      <c r="D743" s="1"/>
      <c r="G743" s="113"/>
      <c r="H743" s="1"/>
      <c r="I743" s="1"/>
      <c r="J743" s="136"/>
      <c r="M743" s="1"/>
      <c r="P743" s="1"/>
      <c r="Q743" s="1"/>
      <c r="U743" s="1"/>
      <c r="AA743" s="1"/>
    </row>
    <row r="744" ht="15.75" customHeight="1">
      <c r="A744" s="1"/>
      <c r="B744" s="1"/>
      <c r="C744" s="1"/>
      <c r="D744" s="1"/>
      <c r="G744" s="113"/>
      <c r="H744" s="1"/>
      <c r="I744" s="1"/>
      <c r="J744" s="136"/>
      <c r="M744" s="1"/>
      <c r="P744" s="1"/>
      <c r="Q744" s="1"/>
      <c r="U744" s="1"/>
      <c r="AA744" s="1"/>
    </row>
    <row r="745" ht="15.75" customHeight="1">
      <c r="A745" s="1"/>
      <c r="B745" s="1"/>
      <c r="C745" s="1"/>
      <c r="D745" s="1"/>
      <c r="G745" s="113"/>
      <c r="H745" s="1"/>
      <c r="I745" s="1"/>
      <c r="J745" s="136"/>
      <c r="M745" s="1"/>
      <c r="P745" s="1"/>
      <c r="Q745" s="1"/>
      <c r="U745" s="1"/>
      <c r="AA745" s="1"/>
    </row>
    <row r="746" ht="15.75" customHeight="1">
      <c r="A746" s="1"/>
      <c r="B746" s="1"/>
      <c r="C746" s="1"/>
      <c r="D746" s="1"/>
      <c r="G746" s="113"/>
      <c r="H746" s="1"/>
      <c r="I746" s="1"/>
      <c r="J746" s="136"/>
      <c r="M746" s="1"/>
      <c r="P746" s="1"/>
      <c r="Q746" s="1"/>
      <c r="U746" s="1"/>
      <c r="AA746" s="1"/>
    </row>
    <row r="747" ht="15.75" customHeight="1">
      <c r="A747" s="1"/>
      <c r="B747" s="1"/>
      <c r="C747" s="1"/>
      <c r="D747" s="1"/>
      <c r="G747" s="113"/>
      <c r="H747" s="1"/>
      <c r="I747" s="1"/>
      <c r="J747" s="136"/>
      <c r="M747" s="1"/>
      <c r="P747" s="1"/>
      <c r="Q747" s="1"/>
      <c r="U747" s="1"/>
      <c r="AA747" s="1"/>
    </row>
    <row r="748" ht="15.75" customHeight="1">
      <c r="A748" s="1"/>
      <c r="B748" s="1"/>
      <c r="C748" s="1"/>
      <c r="D748" s="1"/>
      <c r="G748" s="113"/>
      <c r="H748" s="1"/>
      <c r="I748" s="1"/>
      <c r="J748" s="136"/>
      <c r="M748" s="1"/>
      <c r="P748" s="1"/>
      <c r="Q748" s="1"/>
      <c r="U748" s="1"/>
      <c r="AA748" s="1"/>
    </row>
    <row r="749" ht="15.75" customHeight="1">
      <c r="A749" s="1"/>
      <c r="B749" s="1"/>
      <c r="C749" s="1"/>
      <c r="D749" s="1"/>
      <c r="G749" s="113"/>
      <c r="H749" s="1"/>
      <c r="I749" s="1"/>
      <c r="J749" s="136"/>
      <c r="M749" s="1"/>
      <c r="P749" s="1"/>
      <c r="Q749" s="1"/>
      <c r="U749" s="1"/>
      <c r="AA749" s="1"/>
    </row>
    <row r="750" ht="15.75" customHeight="1">
      <c r="A750" s="1"/>
      <c r="B750" s="1"/>
      <c r="C750" s="1"/>
      <c r="D750" s="1"/>
      <c r="G750" s="113"/>
      <c r="H750" s="1"/>
      <c r="I750" s="1"/>
      <c r="J750" s="136"/>
      <c r="M750" s="1"/>
      <c r="P750" s="1"/>
      <c r="Q750" s="1"/>
      <c r="U750" s="1"/>
      <c r="AA750" s="1"/>
    </row>
    <row r="751" ht="15.75" customHeight="1">
      <c r="A751" s="1"/>
      <c r="B751" s="1"/>
      <c r="C751" s="1"/>
      <c r="D751" s="1"/>
      <c r="G751" s="113"/>
      <c r="H751" s="1"/>
      <c r="I751" s="1"/>
      <c r="J751" s="136"/>
      <c r="M751" s="1"/>
      <c r="P751" s="1"/>
      <c r="Q751" s="1"/>
      <c r="U751" s="1"/>
      <c r="AA751" s="1"/>
    </row>
    <row r="752" ht="15.75" customHeight="1">
      <c r="A752" s="1"/>
      <c r="B752" s="1"/>
      <c r="C752" s="1"/>
      <c r="D752" s="1"/>
      <c r="G752" s="113"/>
      <c r="H752" s="1"/>
      <c r="I752" s="1"/>
      <c r="J752" s="136"/>
      <c r="M752" s="1"/>
      <c r="P752" s="1"/>
      <c r="Q752" s="1"/>
      <c r="U752" s="1"/>
      <c r="AA752" s="1"/>
    </row>
    <row r="753" ht="15.75" customHeight="1">
      <c r="A753" s="1"/>
      <c r="B753" s="1"/>
      <c r="C753" s="1"/>
      <c r="D753" s="1"/>
      <c r="G753" s="113"/>
      <c r="H753" s="1"/>
      <c r="I753" s="1"/>
      <c r="J753" s="136"/>
      <c r="M753" s="1"/>
      <c r="P753" s="1"/>
      <c r="Q753" s="1"/>
      <c r="U753" s="1"/>
      <c r="AA753" s="1"/>
    </row>
    <row r="754" ht="15.75" customHeight="1">
      <c r="A754" s="1"/>
      <c r="B754" s="1"/>
      <c r="C754" s="1"/>
      <c r="D754" s="1"/>
      <c r="G754" s="113"/>
      <c r="H754" s="1"/>
      <c r="I754" s="1"/>
      <c r="J754" s="136"/>
      <c r="M754" s="1"/>
      <c r="P754" s="1"/>
      <c r="Q754" s="1"/>
      <c r="U754" s="1"/>
      <c r="AA754" s="1"/>
    </row>
    <row r="755" ht="15.75" customHeight="1">
      <c r="A755" s="1"/>
      <c r="B755" s="1"/>
      <c r="C755" s="1"/>
      <c r="D755" s="1"/>
      <c r="G755" s="113"/>
      <c r="H755" s="1"/>
      <c r="I755" s="1"/>
      <c r="J755" s="136"/>
      <c r="M755" s="1"/>
      <c r="P755" s="1"/>
      <c r="Q755" s="1"/>
      <c r="U755" s="1"/>
      <c r="AA755" s="1"/>
    </row>
    <row r="756" ht="15.75" customHeight="1">
      <c r="A756" s="1"/>
      <c r="B756" s="1"/>
      <c r="C756" s="1"/>
      <c r="D756" s="1"/>
      <c r="G756" s="113"/>
      <c r="H756" s="1"/>
      <c r="I756" s="1"/>
      <c r="J756" s="136"/>
      <c r="M756" s="1"/>
      <c r="P756" s="1"/>
      <c r="Q756" s="1"/>
      <c r="U756" s="1"/>
      <c r="AA756" s="1"/>
    </row>
    <row r="757" ht="15.75" customHeight="1">
      <c r="A757" s="1"/>
      <c r="B757" s="1"/>
      <c r="C757" s="1"/>
      <c r="D757" s="1"/>
      <c r="G757" s="113"/>
      <c r="H757" s="1"/>
      <c r="I757" s="1"/>
      <c r="J757" s="136"/>
      <c r="M757" s="1"/>
      <c r="P757" s="1"/>
      <c r="Q757" s="1"/>
      <c r="U757" s="1"/>
      <c r="AA757" s="1"/>
    </row>
    <row r="758" ht="15.75" customHeight="1">
      <c r="A758" s="1"/>
      <c r="B758" s="1"/>
      <c r="C758" s="1"/>
      <c r="D758" s="1"/>
      <c r="G758" s="113"/>
      <c r="H758" s="1"/>
      <c r="I758" s="1"/>
      <c r="J758" s="136"/>
      <c r="M758" s="1"/>
      <c r="P758" s="1"/>
      <c r="Q758" s="1"/>
      <c r="U758" s="1"/>
      <c r="AA758" s="1"/>
    </row>
    <row r="759" ht="15.75" customHeight="1">
      <c r="A759" s="1"/>
      <c r="B759" s="1"/>
      <c r="C759" s="1"/>
      <c r="D759" s="1"/>
      <c r="G759" s="113"/>
      <c r="H759" s="1"/>
      <c r="I759" s="1"/>
      <c r="J759" s="136"/>
      <c r="M759" s="1"/>
      <c r="P759" s="1"/>
      <c r="Q759" s="1"/>
      <c r="U759" s="1"/>
      <c r="AA759" s="1"/>
    </row>
    <row r="760" ht="15.75" customHeight="1">
      <c r="A760" s="1"/>
      <c r="B760" s="1"/>
      <c r="C760" s="1"/>
      <c r="D760" s="1"/>
      <c r="G760" s="113"/>
      <c r="H760" s="1"/>
      <c r="I760" s="1"/>
      <c r="J760" s="136"/>
      <c r="M760" s="1"/>
      <c r="P760" s="1"/>
      <c r="Q760" s="1"/>
      <c r="U760" s="1"/>
      <c r="AA760" s="1"/>
    </row>
    <row r="761" ht="15.75" customHeight="1">
      <c r="A761" s="1"/>
      <c r="B761" s="1"/>
      <c r="C761" s="1"/>
      <c r="D761" s="1"/>
      <c r="G761" s="113"/>
      <c r="H761" s="1"/>
      <c r="I761" s="1"/>
      <c r="J761" s="136"/>
      <c r="M761" s="1"/>
      <c r="P761" s="1"/>
      <c r="Q761" s="1"/>
      <c r="U761" s="1"/>
      <c r="AA761" s="1"/>
    </row>
    <row r="762" ht="15.75" customHeight="1">
      <c r="A762" s="1"/>
      <c r="B762" s="1"/>
      <c r="C762" s="1"/>
      <c r="D762" s="1"/>
      <c r="G762" s="113"/>
      <c r="H762" s="1"/>
      <c r="I762" s="1"/>
      <c r="J762" s="136"/>
      <c r="M762" s="1"/>
      <c r="P762" s="1"/>
      <c r="Q762" s="1"/>
      <c r="U762" s="1"/>
      <c r="AA762" s="1"/>
    </row>
    <row r="763" ht="15.75" customHeight="1">
      <c r="A763" s="1"/>
      <c r="B763" s="1"/>
      <c r="C763" s="1"/>
      <c r="D763" s="1"/>
      <c r="G763" s="113"/>
      <c r="H763" s="1"/>
      <c r="I763" s="1"/>
      <c r="J763" s="136"/>
      <c r="M763" s="1"/>
      <c r="P763" s="1"/>
      <c r="Q763" s="1"/>
      <c r="U763" s="1"/>
      <c r="AA763" s="1"/>
    </row>
    <row r="764" ht="15.75" customHeight="1">
      <c r="A764" s="1"/>
      <c r="B764" s="1"/>
      <c r="C764" s="1"/>
      <c r="D764" s="1"/>
      <c r="G764" s="113"/>
      <c r="H764" s="1"/>
      <c r="I764" s="1"/>
      <c r="J764" s="136"/>
      <c r="M764" s="1"/>
      <c r="P764" s="1"/>
      <c r="Q764" s="1"/>
      <c r="U764" s="1"/>
      <c r="AA764" s="1"/>
    </row>
    <row r="765" ht="15.75" customHeight="1">
      <c r="A765" s="1"/>
      <c r="B765" s="1"/>
      <c r="C765" s="1"/>
      <c r="D765" s="1"/>
      <c r="G765" s="113"/>
      <c r="H765" s="1"/>
      <c r="I765" s="1"/>
      <c r="J765" s="136"/>
      <c r="M765" s="1"/>
      <c r="P765" s="1"/>
      <c r="Q765" s="1"/>
      <c r="U765" s="1"/>
      <c r="AA765" s="1"/>
    </row>
    <row r="766" ht="15.75" customHeight="1">
      <c r="A766" s="1"/>
      <c r="B766" s="1"/>
      <c r="C766" s="1"/>
      <c r="D766" s="1"/>
      <c r="G766" s="113"/>
      <c r="H766" s="1"/>
      <c r="I766" s="1"/>
      <c r="J766" s="136"/>
      <c r="M766" s="1"/>
      <c r="P766" s="1"/>
      <c r="Q766" s="1"/>
      <c r="U766" s="1"/>
      <c r="AA766" s="1"/>
    </row>
    <row r="767" ht="15.75" customHeight="1">
      <c r="A767" s="1"/>
      <c r="B767" s="1"/>
      <c r="C767" s="1"/>
      <c r="D767" s="1"/>
      <c r="G767" s="113"/>
      <c r="H767" s="1"/>
      <c r="I767" s="1"/>
      <c r="J767" s="136"/>
      <c r="M767" s="1"/>
      <c r="P767" s="1"/>
      <c r="Q767" s="1"/>
      <c r="U767" s="1"/>
      <c r="AA767" s="1"/>
    </row>
    <row r="768" ht="15.75" customHeight="1">
      <c r="A768" s="1"/>
      <c r="B768" s="1"/>
      <c r="C768" s="1"/>
      <c r="D768" s="1"/>
      <c r="G768" s="113"/>
      <c r="H768" s="1"/>
      <c r="I768" s="1"/>
      <c r="J768" s="136"/>
      <c r="M768" s="1"/>
      <c r="P768" s="1"/>
      <c r="Q768" s="1"/>
      <c r="U768" s="1"/>
      <c r="AA768" s="1"/>
    </row>
    <row r="769" ht="15.75" customHeight="1">
      <c r="A769" s="1"/>
      <c r="B769" s="1"/>
      <c r="C769" s="1"/>
      <c r="D769" s="1"/>
      <c r="G769" s="113"/>
      <c r="H769" s="1"/>
      <c r="I769" s="1"/>
      <c r="J769" s="136"/>
      <c r="M769" s="1"/>
      <c r="P769" s="1"/>
      <c r="Q769" s="1"/>
      <c r="U769" s="1"/>
      <c r="AA769" s="1"/>
    </row>
    <row r="770" ht="15.75" customHeight="1">
      <c r="A770" s="1"/>
      <c r="B770" s="1"/>
      <c r="C770" s="1"/>
      <c r="D770" s="1"/>
      <c r="G770" s="113"/>
      <c r="H770" s="1"/>
      <c r="I770" s="1"/>
      <c r="J770" s="136"/>
      <c r="M770" s="1"/>
      <c r="P770" s="1"/>
      <c r="Q770" s="1"/>
      <c r="U770" s="1"/>
      <c r="AA770" s="1"/>
    </row>
    <row r="771" ht="15.75" customHeight="1">
      <c r="A771" s="1"/>
      <c r="B771" s="1"/>
      <c r="C771" s="1"/>
      <c r="D771" s="1"/>
      <c r="G771" s="113"/>
      <c r="H771" s="1"/>
      <c r="I771" s="1"/>
      <c r="J771" s="136"/>
      <c r="M771" s="1"/>
      <c r="P771" s="1"/>
      <c r="Q771" s="1"/>
      <c r="U771" s="1"/>
      <c r="AA771" s="1"/>
    </row>
    <row r="772" ht="15.75" customHeight="1">
      <c r="A772" s="1"/>
      <c r="B772" s="1"/>
      <c r="C772" s="1"/>
      <c r="D772" s="1"/>
      <c r="G772" s="113"/>
      <c r="H772" s="1"/>
      <c r="I772" s="1"/>
      <c r="J772" s="136"/>
      <c r="M772" s="1"/>
      <c r="P772" s="1"/>
      <c r="Q772" s="1"/>
      <c r="U772" s="1"/>
      <c r="AA772" s="1"/>
    </row>
    <row r="773" ht="15.75" customHeight="1">
      <c r="A773" s="1"/>
      <c r="B773" s="1"/>
      <c r="C773" s="1"/>
      <c r="D773" s="1"/>
      <c r="G773" s="113"/>
      <c r="H773" s="1"/>
      <c r="I773" s="1"/>
      <c r="J773" s="136"/>
      <c r="M773" s="1"/>
      <c r="P773" s="1"/>
      <c r="Q773" s="1"/>
      <c r="U773" s="1"/>
      <c r="AA773" s="1"/>
    </row>
    <row r="774" ht="15.75" customHeight="1">
      <c r="A774" s="1"/>
      <c r="B774" s="1"/>
      <c r="C774" s="1"/>
      <c r="D774" s="1"/>
      <c r="G774" s="113"/>
      <c r="H774" s="1"/>
      <c r="I774" s="1"/>
      <c r="J774" s="136"/>
      <c r="M774" s="1"/>
      <c r="P774" s="1"/>
      <c r="Q774" s="1"/>
      <c r="U774" s="1"/>
      <c r="AA774" s="1"/>
    </row>
    <row r="775" ht="15.75" customHeight="1">
      <c r="A775" s="1"/>
      <c r="B775" s="1"/>
      <c r="C775" s="1"/>
      <c r="D775" s="1"/>
      <c r="G775" s="113"/>
      <c r="H775" s="1"/>
      <c r="I775" s="1"/>
      <c r="J775" s="136"/>
      <c r="M775" s="1"/>
      <c r="P775" s="1"/>
      <c r="Q775" s="1"/>
      <c r="U775" s="1"/>
      <c r="AA775" s="1"/>
    </row>
    <row r="776" ht="15.75" customHeight="1">
      <c r="A776" s="1"/>
      <c r="B776" s="1"/>
      <c r="C776" s="1"/>
      <c r="D776" s="1"/>
      <c r="G776" s="113"/>
      <c r="H776" s="1"/>
      <c r="I776" s="1"/>
      <c r="J776" s="136"/>
      <c r="M776" s="1"/>
      <c r="P776" s="1"/>
      <c r="Q776" s="1"/>
      <c r="U776" s="1"/>
      <c r="AA776" s="1"/>
    </row>
    <row r="777" ht="15.75" customHeight="1">
      <c r="A777" s="1"/>
      <c r="B777" s="1"/>
      <c r="C777" s="1"/>
      <c r="D777" s="1"/>
      <c r="G777" s="113"/>
      <c r="H777" s="1"/>
      <c r="I777" s="1"/>
      <c r="J777" s="136"/>
      <c r="M777" s="1"/>
      <c r="P777" s="1"/>
      <c r="Q777" s="1"/>
      <c r="U777" s="1"/>
      <c r="AA777" s="1"/>
    </row>
    <row r="778" ht="15.75" customHeight="1">
      <c r="A778" s="1"/>
      <c r="B778" s="1"/>
      <c r="C778" s="1"/>
      <c r="D778" s="1"/>
      <c r="G778" s="113"/>
      <c r="H778" s="1"/>
      <c r="I778" s="1"/>
      <c r="J778" s="136"/>
      <c r="M778" s="1"/>
      <c r="P778" s="1"/>
      <c r="Q778" s="1"/>
      <c r="U778" s="1"/>
      <c r="AA778" s="1"/>
    </row>
    <row r="779" ht="15.75" customHeight="1">
      <c r="A779" s="1"/>
      <c r="B779" s="1"/>
      <c r="C779" s="1"/>
      <c r="D779" s="1"/>
      <c r="G779" s="113"/>
      <c r="H779" s="1"/>
      <c r="I779" s="1"/>
      <c r="J779" s="136"/>
      <c r="M779" s="1"/>
      <c r="P779" s="1"/>
      <c r="Q779" s="1"/>
      <c r="U779" s="1"/>
      <c r="AA779" s="1"/>
    </row>
    <row r="780" ht="15.75" customHeight="1">
      <c r="A780" s="1"/>
      <c r="B780" s="1"/>
      <c r="C780" s="1"/>
      <c r="D780" s="1"/>
      <c r="G780" s="113"/>
      <c r="H780" s="1"/>
      <c r="I780" s="1"/>
      <c r="J780" s="136"/>
      <c r="M780" s="1"/>
      <c r="P780" s="1"/>
      <c r="Q780" s="1"/>
      <c r="U780" s="1"/>
      <c r="AA780" s="1"/>
    </row>
    <row r="781" ht="15.75" customHeight="1">
      <c r="A781" s="1"/>
      <c r="B781" s="1"/>
      <c r="C781" s="1"/>
      <c r="D781" s="1"/>
      <c r="G781" s="113"/>
      <c r="H781" s="1"/>
      <c r="I781" s="1"/>
      <c r="J781" s="136"/>
      <c r="M781" s="1"/>
      <c r="P781" s="1"/>
      <c r="Q781" s="1"/>
      <c r="U781" s="1"/>
      <c r="AA781" s="1"/>
    </row>
    <row r="782" ht="15.75" customHeight="1">
      <c r="A782" s="1"/>
      <c r="B782" s="1"/>
      <c r="C782" s="1"/>
      <c r="D782" s="1"/>
      <c r="G782" s="113"/>
      <c r="H782" s="1"/>
      <c r="I782" s="1"/>
      <c r="J782" s="136"/>
      <c r="M782" s="1"/>
      <c r="P782" s="1"/>
      <c r="Q782" s="1"/>
      <c r="U782" s="1"/>
      <c r="AA782" s="1"/>
    </row>
    <row r="783" ht="15.75" customHeight="1">
      <c r="A783" s="1"/>
      <c r="B783" s="1"/>
      <c r="C783" s="1"/>
      <c r="D783" s="1"/>
      <c r="G783" s="113"/>
      <c r="H783" s="1"/>
      <c r="I783" s="1"/>
      <c r="J783" s="136"/>
      <c r="M783" s="1"/>
      <c r="P783" s="1"/>
      <c r="Q783" s="1"/>
      <c r="U783" s="1"/>
      <c r="AA783" s="1"/>
    </row>
    <row r="784" ht="15.75" customHeight="1">
      <c r="A784" s="1"/>
      <c r="B784" s="1"/>
      <c r="C784" s="1"/>
      <c r="D784" s="1"/>
      <c r="G784" s="113"/>
      <c r="H784" s="1"/>
      <c r="I784" s="1"/>
      <c r="J784" s="136"/>
      <c r="M784" s="1"/>
      <c r="P784" s="1"/>
      <c r="Q784" s="1"/>
      <c r="U784" s="1"/>
      <c r="AA784" s="1"/>
    </row>
    <row r="785" ht="15.75" customHeight="1">
      <c r="A785" s="1"/>
      <c r="B785" s="1"/>
      <c r="C785" s="1"/>
      <c r="D785" s="1"/>
      <c r="G785" s="113"/>
      <c r="H785" s="1"/>
      <c r="I785" s="1"/>
      <c r="J785" s="136"/>
      <c r="M785" s="1"/>
      <c r="P785" s="1"/>
      <c r="Q785" s="1"/>
      <c r="U785" s="1"/>
      <c r="AA785" s="1"/>
    </row>
    <row r="786" ht="15.75" customHeight="1">
      <c r="A786" s="1"/>
      <c r="B786" s="1"/>
      <c r="C786" s="1"/>
      <c r="D786" s="1"/>
      <c r="G786" s="113"/>
      <c r="H786" s="1"/>
      <c r="I786" s="1"/>
      <c r="J786" s="136"/>
      <c r="M786" s="1"/>
      <c r="P786" s="1"/>
      <c r="Q786" s="1"/>
      <c r="U786" s="1"/>
      <c r="AA786" s="1"/>
    </row>
    <row r="787" ht="15.75" customHeight="1">
      <c r="A787" s="1"/>
      <c r="B787" s="1"/>
      <c r="C787" s="1"/>
      <c r="D787" s="1"/>
      <c r="G787" s="113"/>
      <c r="H787" s="1"/>
      <c r="I787" s="1"/>
      <c r="J787" s="136"/>
      <c r="M787" s="1"/>
      <c r="P787" s="1"/>
      <c r="Q787" s="1"/>
      <c r="U787" s="1"/>
      <c r="AA787" s="1"/>
    </row>
    <row r="788" ht="15.75" customHeight="1">
      <c r="A788" s="1"/>
      <c r="B788" s="1"/>
      <c r="C788" s="1"/>
      <c r="D788" s="1"/>
      <c r="G788" s="113"/>
      <c r="H788" s="1"/>
      <c r="I788" s="1"/>
      <c r="J788" s="136"/>
      <c r="M788" s="1"/>
      <c r="P788" s="1"/>
      <c r="Q788" s="1"/>
      <c r="U788" s="1"/>
      <c r="AA788" s="1"/>
    </row>
    <row r="789" ht="15.75" customHeight="1">
      <c r="A789" s="1"/>
      <c r="B789" s="1"/>
      <c r="C789" s="1"/>
      <c r="D789" s="1"/>
      <c r="G789" s="113"/>
      <c r="H789" s="1"/>
      <c r="I789" s="1"/>
      <c r="J789" s="136"/>
      <c r="M789" s="1"/>
      <c r="P789" s="1"/>
      <c r="Q789" s="1"/>
      <c r="U789" s="1"/>
      <c r="AA789" s="1"/>
    </row>
    <row r="790" ht="15.75" customHeight="1">
      <c r="A790" s="1"/>
      <c r="B790" s="1"/>
      <c r="C790" s="1"/>
      <c r="D790" s="1"/>
      <c r="G790" s="113"/>
      <c r="H790" s="1"/>
      <c r="I790" s="1"/>
      <c r="J790" s="136"/>
      <c r="M790" s="1"/>
      <c r="P790" s="1"/>
      <c r="Q790" s="1"/>
      <c r="U790" s="1"/>
      <c r="AA790" s="1"/>
    </row>
    <row r="791" ht="15.75" customHeight="1">
      <c r="A791" s="1"/>
      <c r="B791" s="1"/>
      <c r="C791" s="1"/>
      <c r="D791" s="1"/>
      <c r="G791" s="113"/>
      <c r="H791" s="1"/>
      <c r="I791" s="1"/>
      <c r="J791" s="136"/>
      <c r="M791" s="1"/>
      <c r="P791" s="1"/>
      <c r="Q791" s="1"/>
      <c r="U791" s="1"/>
      <c r="AA791" s="1"/>
    </row>
    <row r="792" ht="15.75" customHeight="1">
      <c r="A792" s="1"/>
      <c r="B792" s="1"/>
      <c r="C792" s="1"/>
      <c r="D792" s="1"/>
      <c r="G792" s="113"/>
      <c r="H792" s="1"/>
      <c r="I792" s="1"/>
      <c r="J792" s="136"/>
      <c r="M792" s="1"/>
      <c r="P792" s="1"/>
      <c r="Q792" s="1"/>
      <c r="U792" s="1"/>
      <c r="AA792" s="1"/>
    </row>
    <row r="793" ht="15.75" customHeight="1">
      <c r="A793" s="1"/>
      <c r="B793" s="1"/>
      <c r="C793" s="1"/>
      <c r="D793" s="1"/>
      <c r="G793" s="113"/>
      <c r="H793" s="1"/>
      <c r="I793" s="1"/>
      <c r="J793" s="136"/>
      <c r="M793" s="1"/>
      <c r="P793" s="1"/>
      <c r="Q793" s="1"/>
      <c r="U793" s="1"/>
      <c r="AA793" s="1"/>
    </row>
    <row r="794" ht="15.75" customHeight="1">
      <c r="A794" s="1"/>
      <c r="B794" s="1"/>
      <c r="C794" s="1"/>
      <c r="D794" s="1"/>
      <c r="G794" s="113"/>
      <c r="H794" s="1"/>
      <c r="I794" s="1"/>
      <c r="J794" s="136"/>
      <c r="M794" s="1"/>
      <c r="P794" s="1"/>
      <c r="Q794" s="1"/>
      <c r="U794" s="1"/>
      <c r="AA794" s="1"/>
    </row>
    <row r="795" ht="15.75" customHeight="1">
      <c r="A795" s="1"/>
      <c r="B795" s="1"/>
      <c r="C795" s="1"/>
      <c r="D795" s="1"/>
      <c r="G795" s="113"/>
      <c r="H795" s="1"/>
      <c r="I795" s="1"/>
      <c r="J795" s="136"/>
      <c r="M795" s="1"/>
      <c r="P795" s="1"/>
      <c r="Q795" s="1"/>
      <c r="U795" s="1"/>
      <c r="AA795" s="1"/>
    </row>
    <row r="796" ht="15.75" customHeight="1">
      <c r="A796" s="1"/>
      <c r="B796" s="1"/>
      <c r="C796" s="1"/>
      <c r="D796" s="1"/>
      <c r="G796" s="113"/>
      <c r="H796" s="1"/>
      <c r="I796" s="1"/>
      <c r="J796" s="136"/>
      <c r="M796" s="1"/>
      <c r="P796" s="1"/>
      <c r="Q796" s="1"/>
      <c r="U796" s="1"/>
      <c r="AA796" s="1"/>
    </row>
    <row r="797" ht="15.75" customHeight="1">
      <c r="A797" s="1"/>
      <c r="B797" s="1"/>
      <c r="C797" s="1"/>
      <c r="D797" s="1"/>
      <c r="G797" s="113"/>
      <c r="H797" s="1"/>
      <c r="I797" s="1"/>
      <c r="J797" s="136"/>
      <c r="M797" s="1"/>
      <c r="P797" s="1"/>
      <c r="Q797" s="1"/>
      <c r="U797" s="1"/>
      <c r="AA797" s="1"/>
    </row>
    <row r="798" ht="15.75" customHeight="1">
      <c r="A798" s="1"/>
      <c r="B798" s="1"/>
      <c r="C798" s="1"/>
      <c r="D798" s="1"/>
      <c r="G798" s="113"/>
      <c r="H798" s="1"/>
      <c r="I798" s="1"/>
      <c r="J798" s="136"/>
      <c r="M798" s="1"/>
      <c r="P798" s="1"/>
      <c r="Q798" s="1"/>
      <c r="U798" s="1"/>
      <c r="AA798" s="1"/>
    </row>
    <row r="799" ht="15.75" customHeight="1">
      <c r="A799" s="1"/>
      <c r="B799" s="1"/>
      <c r="C799" s="1"/>
      <c r="D799" s="1"/>
      <c r="G799" s="113"/>
      <c r="H799" s="1"/>
      <c r="I799" s="1"/>
      <c r="J799" s="136"/>
      <c r="M799" s="1"/>
      <c r="P799" s="1"/>
      <c r="Q799" s="1"/>
      <c r="U799" s="1"/>
      <c r="AA799" s="1"/>
    </row>
    <row r="800" ht="15.75" customHeight="1">
      <c r="A800" s="1"/>
      <c r="B800" s="1"/>
      <c r="C800" s="1"/>
      <c r="D800" s="1"/>
      <c r="G800" s="113"/>
      <c r="H800" s="1"/>
      <c r="I800" s="1"/>
      <c r="J800" s="136"/>
      <c r="M800" s="1"/>
      <c r="P800" s="1"/>
      <c r="Q800" s="1"/>
      <c r="U800" s="1"/>
      <c r="AA800" s="1"/>
    </row>
    <row r="801" ht="15.75" customHeight="1">
      <c r="A801" s="1"/>
      <c r="B801" s="1"/>
      <c r="C801" s="1"/>
      <c r="D801" s="1"/>
      <c r="G801" s="113"/>
      <c r="H801" s="1"/>
      <c r="I801" s="1"/>
      <c r="J801" s="136"/>
      <c r="M801" s="1"/>
      <c r="P801" s="1"/>
      <c r="Q801" s="1"/>
      <c r="U801" s="1"/>
      <c r="AA801" s="1"/>
    </row>
    <row r="802" ht="15.75" customHeight="1">
      <c r="A802" s="1"/>
      <c r="B802" s="1"/>
      <c r="C802" s="1"/>
      <c r="D802" s="1"/>
      <c r="G802" s="113"/>
      <c r="H802" s="1"/>
      <c r="I802" s="1"/>
      <c r="J802" s="136"/>
      <c r="M802" s="1"/>
      <c r="P802" s="1"/>
      <c r="Q802" s="1"/>
      <c r="U802" s="1"/>
      <c r="AA802" s="1"/>
    </row>
    <row r="803" ht="15.75" customHeight="1">
      <c r="A803" s="1"/>
      <c r="B803" s="1"/>
      <c r="C803" s="1"/>
      <c r="D803" s="1"/>
      <c r="G803" s="113"/>
      <c r="H803" s="1"/>
      <c r="I803" s="1"/>
      <c r="J803" s="136"/>
      <c r="M803" s="1"/>
      <c r="P803" s="1"/>
      <c r="Q803" s="1"/>
      <c r="U803" s="1"/>
      <c r="AA803" s="1"/>
    </row>
    <row r="804" ht="15.75" customHeight="1">
      <c r="A804" s="1"/>
      <c r="B804" s="1"/>
      <c r="C804" s="1"/>
      <c r="D804" s="1"/>
      <c r="G804" s="113"/>
      <c r="H804" s="1"/>
      <c r="I804" s="1"/>
      <c r="J804" s="136"/>
      <c r="M804" s="1"/>
      <c r="P804" s="1"/>
      <c r="Q804" s="1"/>
      <c r="U804" s="1"/>
      <c r="AA804" s="1"/>
    </row>
    <row r="805" ht="15.75" customHeight="1">
      <c r="A805" s="1"/>
      <c r="B805" s="1"/>
      <c r="C805" s="1"/>
      <c r="D805" s="1"/>
      <c r="G805" s="113"/>
      <c r="H805" s="1"/>
      <c r="I805" s="1"/>
      <c r="J805" s="136"/>
      <c r="M805" s="1"/>
      <c r="P805" s="1"/>
      <c r="Q805" s="1"/>
      <c r="U805" s="1"/>
      <c r="AA805" s="1"/>
    </row>
    <row r="806" ht="15.75" customHeight="1">
      <c r="A806" s="1"/>
      <c r="B806" s="1"/>
      <c r="C806" s="1"/>
      <c r="D806" s="1"/>
      <c r="G806" s="113"/>
      <c r="H806" s="1"/>
      <c r="I806" s="1"/>
      <c r="J806" s="136"/>
      <c r="M806" s="1"/>
      <c r="P806" s="1"/>
      <c r="Q806" s="1"/>
      <c r="U806" s="1"/>
      <c r="AA806" s="1"/>
    </row>
    <row r="807" ht="15.75" customHeight="1">
      <c r="A807" s="1"/>
      <c r="B807" s="1"/>
      <c r="C807" s="1"/>
      <c r="D807" s="1"/>
      <c r="G807" s="113"/>
      <c r="H807" s="1"/>
      <c r="I807" s="1"/>
      <c r="J807" s="136"/>
      <c r="M807" s="1"/>
      <c r="P807" s="1"/>
      <c r="Q807" s="1"/>
      <c r="U807" s="1"/>
      <c r="AA807" s="1"/>
    </row>
    <row r="808" ht="15.75" customHeight="1">
      <c r="A808" s="1"/>
      <c r="B808" s="1"/>
      <c r="C808" s="1"/>
      <c r="D808" s="1"/>
      <c r="G808" s="113"/>
      <c r="H808" s="1"/>
      <c r="I808" s="1"/>
      <c r="J808" s="136"/>
      <c r="M808" s="1"/>
      <c r="P808" s="1"/>
      <c r="Q808" s="1"/>
      <c r="U808" s="1"/>
      <c r="AA808" s="1"/>
    </row>
    <row r="809" ht="15.75" customHeight="1">
      <c r="A809" s="1"/>
      <c r="B809" s="1"/>
      <c r="C809" s="1"/>
      <c r="D809" s="1"/>
      <c r="G809" s="113"/>
      <c r="H809" s="1"/>
      <c r="I809" s="1"/>
      <c r="J809" s="136"/>
      <c r="M809" s="1"/>
      <c r="P809" s="1"/>
      <c r="Q809" s="1"/>
      <c r="U809" s="1"/>
      <c r="AA809" s="1"/>
    </row>
    <row r="810" ht="15.75" customHeight="1">
      <c r="A810" s="1"/>
      <c r="B810" s="1"/>
      <c r="C810" s="1"/>
      <c r="D810" s="1"/>
      <c r="G810" s="113"/>
      <c r="H810" s="1"/>
      <c r="I810" s="1"/>
      <c r="J810" s="136"/>
      <c r="M810" s="1"/>
      <c r="P810" s="1"/>
      <c r="Q810" s="1"/>
      <c r="U810" s="1"/>
      <c r="AA810" s="1"/>
    </row>
    <row r="811" ht="15.75" customHeight="1">
      <c r="A811" s="1"/>
      <c r="B811" s="1"/>
      <c r="C811" s="1"/>
      <c r="D811" s="1"/>
      <c r="G811" s="113"/>
      <c r="H811" s="1"/>
      <c r="I811" s="1"/>
      <c r="J811" s="136"/>
      <c r="M811" s="1"/>
      <c r="P811" s="1"/>
      <c r="Q811" s="1"/>
      <c r="U811" s="1"/>
      <c r="AA811" s="1"/>
    </row>
    <row r="812" ht="15.75" customHeight="1">
      <c r="A812" s="1"/>
      <c r="B812" s="1"/>
      <c r="C812" s="1"/>
      <c r="D812" s="1"/>
      <c r="G812" s="113"/>
      <c r="H812" s="1"/>
      <c r="I812" s="1"/>
      <c r="J812" s="136"/>
      <c r="M812" s="1"/>
      <c r="P812" s="1"/>
      <c r="Q812" s="1"/>
      <c r="U812" s="1"/>
      <c r="AA812" s="1"/>
    </row>
    <row r="813" ht="15.75" customHeight="1">
      <c r="A813" s="1"/>
      <c r="B813" s="1"/>
      <c r="C813" s="1"/>
      <c r="D813" s="1"/>
      <c r="G813" s="113"/>
      <c r="H813" s="1"/>
      <c r="I813" s="1"/>
      <c r="J813" s="136"/>
      <c r="M813" s="1"/>
      <c r="P813" s="1"/>
      <c r="Q813" s="1"/>
      <c r="U813" s="1"/>
      <c r="AA813" s="1"/>
    </row>
    <row r="814" ht="15.75" customHeight="1">
      <c r="A814" s="1"/>
      <c r="B814" s="1"/>
      <c r="C814" s="1"/>
      <c r="D814" s="1"/>
      <c r="G814" s="113"/>
      <c r="H814" s="1"/>
      <c r="I814" s="1"/>
      <c r="J814" s="136"/>
      <c r="M814" s="1"/>
      <c r="P814" s="1"/>
      <c r="Q814" s="1"/>
      <c r="U814" s="1"/>
      <c r="AA814" s="1"/>
    </row>
    <row r="815" ht="15.75" customHeight="1">
      <c r="A815" s="1"/>
      <c r="B815" s="1"/>
      <c r="C815" s="1"/>
      <c r="D815" s="1"/>
      <c r="G815" s="113"/>
      <c r="H815" s="1"/>
      <c r="I815" s="1"/>
      <c r="J815" s="136"/>
      <c r="M815" s="1"/>
      <c r="P815" s="1"/>
      <c r="Q815" s="1"/>
      <c r="U815" s="1"/>
      <c r="AA815" s="1"/>
    </row>
    <row r="816" ht="15.75" customHeight="1">
      <c r="A816" s="1"/>
      <c r="B816" s="1"/>
      <c r="C816" s="1"/>
      <c r="D816" s="1"/>
      <c r="G816" s="113"/>
      <c r="H816" s="1"/>
      <c r="I816" s="1"/>
      <c r="J816" s="136"/>
      <c r="M816" s="1"/>
      <c r="P816" s="1"/>
      <c r="Q816" s="1"/>
      <c r="U816" s="1"/>
      <c r="AA816" s="1"/>
    </row>
    <row r="817" ht="15.75" customHeight="1">
      <c r="A817" s="1"/>
      <c r="B817" s="1"/>
      <c r="C817" s="1"/>
      <c r="D817" s="1"/>
      <c r="G817" s="113"/>
      <c r="H817" s="1"/>
      <c r="I817" s="1"/>
      <c r="J817" s="136"/>
      <c r="M817" s="1"/>
      <c r="P817" s="1"/>
      <c r="Q817" s="1"/>
      <c r="U817" s="1"/>
      <c r="AA817" s="1"/>
    </row>
    <row r="818" ht="15.75" customHeight="1">
      <c r="A818" s="1"/>
      <c r="B818" s="1"/>
      <c r="C818" s="1"/>
      <c r="D818" s="1"/>
      <c r="G818" s="113"/>
      <c r="H818" s="1"/>
      <c r="I818" s="1"/>
      <c r="J818" s="136"/>
      <c r="M818" s="1"/>
      <c r="P818" s="1"/>
      <c r="Q818" s="1"/>
      <c r="U818" s="1"/>
      <c r="AA818" s="1"/>
    </row>
    <row r="819" ht="15.75" customHeight="1">
      <c r="A819" s="1"/>
      <c r="B819" s="1"/>
      <c r="C819" s="1"/>
      <c r="D819" s="1"/>
      <c r="G819" s="113"/>
      <c r="H819" s="1"/>
      <c r="I819" s="1"/>
      <c r="J819" s="136"/>
      <c r="M819" s="1"/>
      <c r="P819" s="1"/>
      <c r="Q819" s="1"/>
      <c r="U819" s="1"/>
      <c r="AA819" s="1"/>
    </row>
    <row r="820" ht="15.75" customHeight="1">
      <c r="A820" s="1"/>
      <c r="B820" s="1"/>
      <c r="C820" s="1"/>
      <c r="D820" s="1"/>
      <c r="G820" s="113"/>
      <c r="H820" s="1"/>
      <c r="I820" s="1"/>
      <c r="J820" s="136"/>
      <c r="M820" s="1"/>
      <c r="P820" s="1"/>
      <c r="Q820" s="1"/>
      <c r="U820" s="1"/>
      <c r="AA820" s="1"/>
    </row>
    <row r="821" ht="15.75" customHeight="1">
      <c r="A821" s="1"/>
      <c r="B821" s="1"/>
      <c r="C821" s="1"/>
      <c r="D821" s="1"/>
      <c r="G821" s="113"/>
      <c r="H821" s="1"/>
      <c r="I821" s="1"/>
      <c r="J821" s="136"/>
      <c r="M821" s="1"/>
      <c r="P821" s="1"/>
      <c r="Q821" s="1"/>
      <c r="U821" s="1"/>
      <c r="AA821" s="1"/>
    </row>
    <row r="822" ht="15.75" customHeight="1">
      <c r="A822" s="1"/>
      <c r="B822" s="1"/>
      <c r="C822" s="1"/>
      <c r="D822" s="1"/>
      <c r="G822" s="113"/>
      <c r="H822" s="1"/>
      <c r="I822" s="1"/>
      <c r="J822" s="136"/>
      <c r="M822" s="1"/>
      <c r="P822" s="1"/>
      <c r="Q822" s="1"/>
      <c r="U822" s="1"/>
      <c r="AA822" s="1"/>
    </row>
    <row r="823" ht="15.75" customHeight="1">
      <c r="A823" s="1"/>
      <c r="B823" s="1"/>
      <c r="C823" s="1"/>
      <c r="D823" s="1"/>
      <c r="G823" s="113"/>
      <c r="H823" s="1"/>
      <c r="I823" s="1"/>
      <c r="J823" s="136"/>
      <c r="M823" s="1"/>
      <c r="P823" s="1"/>
      <c r="Q823" s="1"/>
      <c r="U823" s="1"/>
      <c r="AA823" s="1"/>
    </row>
    <row r="824" ht="15.75" customHeight="1">
      <c r="A824" s="1"/>
      <c r="B824" s="1"/>
      <c r="C824" s="1"/>
      <c r="D824" s="1"/>
      <c r="G824" s="113"/>
      <c r="H824" s="1"/>
      <c r="I824" s="1"/>
      <c r="J824" s="136"/>
      <c r="M824" s="1"/>
      <c r="P824" s="1"/>
      <c r="Q824" s="1"/>
      <c r="U824" s="1"/>
      <c r="AA824" s="1"/>
    </row>
    <row r="825" ht="15.75" customHeight="1">
      <c r="A825" s="1"/>
      <c r="B825" s="1"/>
      <c r="C825" s="1"/>
      <c r="D825" s="1"/>
      <c r="G825" s="113"/>
      <c r="H825" s="1"/>
      <c r="I825" s="1"/>
      <c r="J825" s="136"/>
      <c r="M825" s="1"/>
      <c r="P825" s="1"/>
      <c r="Q825" s="1"/>
      <c r="U825" s="1"/>
      <c r="AA825" s="1"/>
    </row>
    <row r="826" ht="15.75" customHeight="1">
      <c r="A826" s="1"/>
      <c r="B826" s="1"/>
      <c r="C826" s="1"/>
      <c r="D826" s="1"/>
      <c r="G826" s="113"/>
      <c r="H826" s="1"/>
      <c r="I826" s="1"/>
      <c r="J826" s="136"/>
      <c r="M826" s="1"/>
      <c r="P826" s="1"/>
      <c r="Q826" s="1"/>
      <c r="U826" s="1"/>
      <c r="AA826" s="1"/>
    </row>
    <row r="827" ht="15.75" customHeight="1">
      <c r="A827" s="1"/>
      <c r="B827" s="1"/>
      <c r="C827" s="1"/>
      <c r="D827" s="1"/>
      <c r="G827" s="113"/>
      <c r="H827" s="1"/>
      <c r="I827" s="1"/>
      <c r="J827" s="136"/>
      <c r="M827" s="1"/>
      <c r="P827" s="1"/>
      <c r="Q827" s="1"/>
      <c r="U827" s="1"/>
      <c r="AA827" s="1"/>
    </row>
    <row r="828" ht="15.75" customHeight="1">
      <c r="A828" s="1"/>
      <c r="B828" s="1"/>
      <c r="C828" s="1"/>
      <c r="D828" s="1"/>
      <c r="G828" s="113"/>
      <c r="H828" s="1"/>
      <c r="I828" s="1"/>
      <c r="J828" s="136"/>
      <c r="M828" s="1"/>
      <c r="P828" s="1"/>
      <c r="Q828" s="1"/>
      <c r="U828" s="1"/>
      <c r="AA828" s="1"/>
    </row>
    <row r="829" ht="15.75" customHeight="1">
      <c r="A829" s="1"/>
      <c r="B829" s="1"/>
      <c r="C829" s="1"/>
      <c r="D829" s="1"/>
      <c r="G829" s="113"/>
      <c r="H829" s="1"/>
      <c r="I829" s="1"/>
      <c r="J829" s="136"/>
      <c r="M829" s="1"/>
      <c r="P829" s="1"/>
      <c r="Q829" s="1"/>
      <c r="U829" s="1"/>
      <c r="AA829" s="1"/>
    </row>
    <row r="830" ht="15.75" customHeight="1">
      <c r="A830" s="1"/>
      <c r="B830" s="1"/>
      <c r="C830" s="1"/>
      <c r="D830" s="1"/>
      <c r="G830" s="113"/>
      <c r="H830" s="1"/>
      <c r="I830" s="1"/>
      <c r="J830" s="136"/>
      <c r="M830" s="1"/>
      <c r="P830" s="1"/>
      <c r="Q830" s="1"/>
      <c r="U830" s="1"/>
      <c r="AA830" s="1"/>
    </row>
    <row r="831" ht="15.75" customHeight="1">
      <c r="A831" s="1"/>
      <c r="B831" s="1"/>
      <c r="C831" s="1"/>
      <c r="D831" s="1"/>
      <c r="G831" s="113"/>
      <c r="H831" s="1"/>
      <c r="I831" s="1"/>
      <c r="J831" s="136"/>
      <c r="M831" s="1"/>
      <c r="P831" s="1"/>
      <c r="Q831" s="1"/>
      <c r="U831" s="1"/>
      <c r="AA831" s="1"/>
    </row>
    <row r="832" ht="15.75" customHeight="1">
      <c r="A832" s="1"/>
      <c r="B832" s="1"/>
      <c r="C832" s="1"/>
      <c r="D832" s="1"/>
      <c r="G832" s="113"/>
      <c r="H832" s="1"/>
      <c r="I832" s="1"/>
      <c r="J832" s="136"/>
      <c r="M832" s="1"/>
      <c r="P832" s="1"/>
      <c r="Q832" s="1"/>
      <c r="U832" s="1"/>
      <c r="AA832" s="1"/>
    </row>
    <row r="833" ht="15.75" customHeight="1">
      <c r="A833" s="1"/>
      <c r="B833" s="1"/>
      <c r="C833" s="1"/>
      <c r="D833" s="1"/>
      <c r="G833" s="113"/>
      <c r="H833" s="1"/>
      <c r="I833" s="1"/>
      <c r="J833" s="136"/>
      <c r="M833" s="1"/>
      <c r="P833" s="1"/>
      <c r="Q833" s="1"/>
      <c r="U833" s="1"/>
      <c r="AA833" s="1"/>
    </row>
    <row r="834" ht="15.75" customHeight="1">
      <c r="A834" s="1"/>
      <c r="B834" s="1"/>
      <c r="C834" s="1"/>
      <c r="D834" s="1"/>
      <c r="G834" s="113"/>
      <c r="H834" s="1"/>
      <c r="I834" s="1"/>
      <c r="J834" s="136"/>
      <c r="M834" s="1"/>
      <c r="P834" s="1"/>
      <c r="Q834" s="1"/>
      <c r="U834" s="1"/>
      <c r="AA834" s="1"/>
    </row>
    <row r="835" ht="15.75" customHeight="1">
      <c r="A835" s="1"/>
      <c r="B835" s="1"/>
      <c r="C835" s="1"/>
      <c r="D835" s="1"/>
      <c r="G835" s="113"/>
      <c r="H835" s="1"/>
      <c r="I835" s="1"/>
      <c r="J835" s="136"/>
      <c r="M835" s="1"/>
      <c r="P835" s="1"/>
      <c r="Q835" s="1"/>
      <c r="U835" s="1"/>
      <c r="AA835" s="1"/>
    </row>
    <row r="836" ht="15.75" customHeight="1">
      <c r="A836" s="1"/>
      <c r="B836" s="1"/>
      <c r="C836" s="1"/>
      <c r="D836" s="1"/>
      <c r="G836" s="113"/>
      <c r="H836" s="1"/>
      <c r="I836" s="1"/>
      <c r="J836" s="136"/>
      <c r="M836" s="1"/>
      <c r="P836" s="1"/>
      <c r="Q836" s="1"/>
      <c r="U836" s="1"/>
      <c r="AA836" s="1"/>
    </row>
    <row r="837" ht="15.75" customHeight="1">
      <c r="A837" s="1"/>
      <c r="B837" s="1"/>
      <c r="C837" s="1"/>
      <c r="D837" s="1"/>
      <c r="G837" s="113"/>
      <c r="H837" s="1"/>
      <c r="I837" s="1"/>
      <c r="J837" s="136"/>
      <c r="M837" s="1"/>
      <c r="P837" s="1"/>
      <c r="Q837" s="1"/>
      <c r="U837" s="1"/>
      <c r="AA837" s="1"/>
    </row>
    <row r="838" ht="15.75" customHeight="1">
      <c r="A838" s="1"/>
      <c r="B838" s="1"/>
      <c r="C838" s="1"/>
      <c r="D838" s="1"/>
      <c r="G838" s="113"/>
      <c r="H838" s="1"/>
      <c r="I838" s="1"/>
      <c r="J838" s="136"/>
      <c r="M838" s="1"/>
      <c r="P838" s="1"/>
      <c r="Q838" s="1"/>
      <c r="U838" s="1"/>
      <c r="AA838" s="1"/>
    </row>
    <row r="839" ht="15.75" customHeight="1">
      <c r="A839" s="1"/>
      <c r="B839" s="1"/>
      <c r="C839" s="1"/>
      <c r="D839" s="1"/>
      <c r="G839" s="113"/>
      <c r="H839" s="1"/>
      <c r="I839" s="1"/>
      <c r="J839" s="136"/>
      <c r="M839" s="1"/>
      <c r="P839" s="1"/>
      <c r="Q839" s="1"/>
      <c r="U839" s="1"/>
      <c r="AA839" s="1"/>
    </row>
    <row r="840" ht="15.75" customHeight="1">
      <c r="A840" s="1"/>
      <c r="B840" s="1"/>
      <c r="C840" s="1"/>
      <c r="D840" s="1"/>
      <c r="G840" s="113"/>
      <c r="H840" s="1"/>
      <c r="I840" s="1"/>
      <c r="J840" s="136"/>
      <c r="M840" s="1"/>
      <c r="P840" s="1"/>
      <c r="Q840" s="1"/>
      <c r="U840" s="1"/>
      <c r="AA840" s="1"/>
    </row>
    <row r="841" ht="15.75" customHeight="1">
      <c r="A841" s="1"/>
      <c r="B841" s="1"/>
      <c r="C841" s="1"/>
      <c r="D841" s="1"/>
      <c r="G841" s="113"/>
      <c r="H841" s="1"/>
      <c r="I841" s="1"/>
      <c r="J841" s="136"/>
      <c r="M841" s="1"/>
      <c r="P841" s="1"/>
      <c r="Q841" s="1"/>
      <c r="U841" s="1"/>
      <c r="AA841" s="1"/>
    </row>
    <row r="842" ht="15.75" customHeight="1">
      <c r="A842" s="1"/>
      <c r="B842" s="1"/>
      <c r="C842" s="1"/>
      <c r="D842" s="1"/>
      <c r="G842" s="113"/>
      <c r="H842" s="1"/>
      <c r="I842" s="1"/>
      <c r="J842" s="136"/>
      <c r="M842" s="1"/>
      <c r="P842" s="1"/>
      <c r="Q842" s="1"/>
      <c r="U842" s="1"/>
      <c r="AA842" s="1"/>
    </row>
    <row r="843" ht="15.75" customHeight="1">
      <c r="A843" s="1"/>
      <c r="B843" s="1"/>
      <c r="C843" s="1"/>
      <c r="D843" s="1"/>
      <c r="G843" s="113"/>
      <c r="H843" s="1"/>
      <c r="I843" s="1"/>
      <c r="J843" s="136"/>
      <c r="M843" s="1"/>
      <c r="P843" s="1"/>
      <c r="Q843" s="1"/>
      <c r="U843" s="1"/>
      <c r="AA843" s="1"/>
    </row>
    <row r="844" ht="15.75" customHeight="1">
      <c r="A844" s="1"/>
      <c r="B844" s="1"/>
      <c r="C844" s="1"/>
      <c r="D844" s="1"/>
      <c r="G844" s="113"/>
      <c r="H844" s="1"/>
      <c r="I844" s="1"/>
      <c r="J844" s="136"/>
      <c r="M844" s="1"/>
      <c r="P844" s="1"/>
      <c r="Q844" s="1"/>
      <c r="U844" s="1"/>
      <c r="AA844" s="1"/>
    </row>
    <row r="845" ht="15.75" customHeight="1">
      <c r="A845" s="1"/>
      <c r="B845" s="1"/>
      <c r="C845" s="1"/>
      <c r="D845" s="1"/>
      <c r="G845" s="113"/>
      <c r="H845" s="1"/>
      <c r="I845" s="1"/>
      <c r="J845" s="136"/>
      <c r="M845" s="1"/>
      <c r="P845" s="1"/>
      <c r="Q845" s="1"/>
      <c r="U845" s="1"/>
      <c r="AA845" s="1"/>
    </row>
    <row r="846" ht="15.75" customHeight="1">
      <c r="A846" s="1"/>
      <c r="B846" s="1"/>
      <c r="C846" s="1"/>
      <c r="D846" s="1"/>
      <c r="G846" s="113"/>
      <c r="H846" s="1"/>
      <c r="I846" s="1"/>
      <c r="J846" s="136"/>
      <c r="M846" s="1"/>
      <c r="P846" s="1"/>
      <c r="Q846" s="1"/>
      <c r="U846" s="1"/>
      <c r="AA846" s="1"/>
    </row>
    <row r="847" ht="15.75" customHeight="1">
      <c r="A847" s="1"/>
      <c r="B847" s="1"/>
      <c r="C847" s="1"/>
      <c r="D847" s="1"/>
      <c r="G847" s="113"/>
      <c r="H847" s="1"/>
      <c r="I847" s="1"/>
      <c r="J847" s="136"/>
      <c r="M847" s="1"/>
      <c r="P847" s="1"/>
      <c r="Q847" s="1"/>
      <c r="U847" s="1"/>
      <c r="AA847" s="1"/>
    </row>
    <row r="848" ht="15.75" customHeight="1">
      <c r="A848" s="1"/>
      <c r="B848" s="1"/>
      <c r="C848" s="1"/>
      <c r="D848" s="1"/>
      <c r="G848" s="113"/>
      <c r="H848" s="1"/>
      <c r="I848" s="1"/>
      <c r="J848" s="136"/>
      <c r="M848" s="1"/>
      <c r="P848" s="1"/>
      <c r="Q848" s="1"/>
      <c r="U848" s="1"/>
      <c r="AA848" s="1"/>
    </row>
    <row r="849" ht="15.75" customHeight="1">
      <c r="A849" s="1"/>
      <c r="B849" s="1"/>
      <c r="C849" s="1"/>
      <c r="D849" s="1"/>
      <c r="G849" s="113"/>
      <c r="H849" s="1"/>
      <c r="I849" s="1"/>
      <c r="J849" s="136"/>
      <c r="M849" s="1"/>
      <c r="P849" s="1"/>
      <c r="Q849" s="1"/>
      <c r="U849" s="1"/>
      <c r="AA849" s="1"/>
    </row>
    <row r="850" ht="15.75" customHeight="1">
      <c r="A850" s="1"/>
      <c r="B850" s="1"/>
      <c r="C850" s="1"/>
      <c r="D850" s="1"/>
      <c r="G850" s="113"/>
      <c r="H850" s="1"/>
      <c r="I850" s="1"/>
      <c r="J850" s="136"/>
      <c r="M850" s="1"/>
      <c r="P850" s="1"/>
      <c r="Q850" s="1"/>
      <c r="U850" s="1"/>
      <c r="AA850" s="1"/>
    </row>
    <row r="851" ht="15.75" customHeight="1">
      <c r="A851" s="1"/>
      <c r="B851" s="1"/>
      <c r="C851" s="1"/>
      <c r="D851" s="1"/>
      <c r="G851" s="113"/>
      <c r="H851" s="1"/>
      <c r="I851" s="1"/>
      <c r="J851" s="136"/>
      <c r="M851" s="1"/>
      <c r="P851" s="1"/>
      <c r="Q851" s="1"/>
      <c r="U851" s="1"/>
      <c r="AA851" s="1"/>
    </row>
    <row r="852" ht="15.75" customHeight="1">
      <c r="A852" s="1"/>
      <c r="B852" s="1"/>
      <c r="C852" s="1"/>
      <c r="D852" s="1"/>
      <c r="G852" s="113"/>
      <c r="H852" s="1"/>
      <c r="I852" s="1"/>
      <c r="J852" s="136"/>
      <c r="M852" s="1"/>
      <c r="P852" s="1"/>
      <c r="Q852" s="1"/>
      <c r="U852" s="1"/>
      <c r="AA852" s="1"/>
    </row>
    <row r="853" ht="15.75" customHeight="1">
      <c r="A853" s="1"/>
      <c r="B853" s="1"/>
      <c r="C853" s="1"/>
      <c r="D853" s="1"/>
      <c r="G853" s="113"/>
      <c r="H853" s="1"/>
      <c r="I853" s="1"/>
      <c r="J853" s="136"/>
      <c r="M853" s="1"/>
      <c r="P853" s="1"/>
      <c r="Q853" s="1"/>
      <c r="U853" s="1"/>
      <c r="AA853" s="1"/>
    </row>
    <row r="854" ht="15.75" customHeight="1">
      <c r="A854" s="1"/>
      <c r="B854" s="1"/>
      <c r="C854" s="1"/>
      <c r="D854" s="1"/>
      <c r="G854" s="113"/>
      <c r="H854" s="1"/>
      <c r="I854" s="1"/>
      <c r="J854" s="136"/>
      <c r="M854" s="1"/>
      <c r="P854" s="1"/>
      <c r="Q854" s="1"/>
      <c r="U854" s="1"/>
      <c r="AA854" s="1"/>
    </row>
    <row r="855" ht="15.75" customHeight="1">
      <c r="A855" s="1"/>
      <c r="B855" s="1"/>
      <c r="C855" s="1"/>
      <c r="D855" s="1"/>
      <c r="G855" s="113"/>
      <c r="H855" s="1"/>
      <c r="I855" s="1"/>
      <c r="J855" s="136"/>
      <c r="M855" s="1"/>
      <c r="P855" s="1"/>
      <c r="Q855" s="1"/>
      <c r="U855" s="1"/>
      <c r="AA855" s="1"/>
    </row>
    <row r="856" ht="15.75" customHeight="1">
      <c r="A856" s="1"/>
      <c r="B856" s="1"/>
      <c r="C856" s="1"/>
      <c r="D856" s="1"/>
      <c r="G856" s="113"/>
      <c r="H856" s="1"/>
      <c r="I856" s="1"/>
      <c r="J856" s="136"/>
      <c r="M856" s="1"/>
      <c r="P856" s="1"/>
      <c r="Q856" s="1"/>
      <c r="U856" s="1"/>
      <c r="AA856" s="1"/>
    </row>
    <row r="857" ht="15.75" customHeight="1">
      <c r="A857" s="1"/>
      <c r="B857" s="1"/>
      <c r="C857" s="1"/>
      <c r="D857" s="1"/>
      <c r="G857" s="113"/>
      <c r="H857" s="1"/>
      <c r="I857" s="1"/>
      <c r="J857" s="136"/>
      <c r="M857" s="1"/>
      <c r="P857" s="1"/>
      <c r="Q857" s="1"/>
      <c r="U857" s="1"/>
      <c r="AA857" s="1"/>
    </row>
    <row r="858" ht="15.75" customHeight="1">
      <c r="A858" s="1"/>
      <c r="B858" s="1"/>
      <c r="C858" s="1"/>
      <c r="D858" s="1"/>
      <c r="G858" s="113"/>
      <c r="H858" s="1"/>
      <c r="I858" s="1"/>
      <c r="J858" s="136"/>
      <c r="M858" s="1"/>
      <c r="P858" s="1"/>
      <c r="Q858" s="1"/>
      <c r="U858" s="1"/>
      <c r="AA858" s="1"/>
    </row>
    <row r="859" ht="15.75" customHeight="1">
      <c r="A859" s="1"/>
      <c r="B859" s="1"/>
      <c r="C859" s="1"/>
      <c r="D859" s="1"/>
      <c r="G859" s="113"/>
      <c r="H859" s="1"/>
      <c r="I859" s="1"/>
      <c r="J859" s="136"/>
      <c r="M859" s="1"/>
      <c r="P859" s="1"/>
      <c r="Q859" s="1"/>
      <c r="U859" s="1"/>
      <c r="AA859" s="1"/>
    </row>
    <row r="860" ht="15.75" customHeight="1">
      <c r="A860" s="1"/>
      <c r="B860" s="1"/>
      <c r="C860" s="1"/>
      <c r="D860" s="1"/>
      <c r="G860" s="113"/>
      <c r="H860" s="1"/>
      <c r="I860" s="1"/>
      <c r="J860" s="136"/>
      <c r="M860" s="1"/>
      <c r="P860" s="1"/>
      <c r="Q860" s="1"/>
      <c r="U860" s="1"/>
      <c r="AA860" s="1"/>
    </row>
    <row r="861" ht="15.75" customHeight="1">
      <c r="A861" s="1"/>
      <c r="B861" s="1"/>
      <c r="C861" s="1"/>
      <c r="D861" s="1"/>
      <c r="G861" s="113"/>
      <c r="H861" s="1"/>
      <c r="I861" s="1"/>
      <c r="J861" s="136"/>
      <c r="M861" s="1"/>
      <c r="P861" s="1"/>
      <c r="Q861" s="1"/>
      <c r="U861" s="1"/>
      <c r="AA861" s="1"/>
    </row>
    <row r="862" ht="15.75" customHeight="1">
      <c r="A862" s="1"/>
      <c r="B862" s="1"/>
      <c r="C862" s="1"/>
      <c r="D862" s="1"/>
      <c r="G862" s="113"/>
      <c r="H862" s="1"/>
      <c r="I862" s="1"/>
      <c r="J862" s="136"/>
      <c r="M862" s="1"/>
      <c r="P862" s="1"/>
      <c r="Q862" s="1"/>
      <c r="U862" s="1"/>
      <c r="AA862" s="1"/>
    </row>
    <row r="863" ht="15.75" customHeight="1">
      <c r="A863" s="1"/>
      <c r="B863" s="1"/>
      <c r="C863" s="1"/>
      <c r="D863" s="1"/>
      <c r="G863" s="113"/>
      <c r="H863" s="1"/>
      <c r="I863" s="1"/>
      <c r="J863" s="136"/>
      <c r="M863" s="1"/>
      <c r="P863" s="1"/>
      <c r="Q863" s="1"/>
      <c r="U863" s="1"/>
      <c r="AA863" s="1"/>
    </row>
    <row r="864" ht="15.75" customHeight="1">
      <c r="A864" s="1"/>
      <c r="B864" s="1"/>
      <c r="C864" s="1"/>
      <c r="D864" s="1"/>
      <c r="G864" s="113"/>
      <c r="H864" s="1"/>
      <c r="I864" s="1"/>
      <c r="J864" s="136"/>
      <c r="M864" s="1"/>
      <c r="P864" s="1"/>
      <c r="Q864" s="1"/>
      <c r="U864" s="1"/>
      <c r="AA864" s="1"/>
    </row>
    <row r="865" ht="15.75" customHeight="1">
      <c r="A865" s="1"/>
      <c r="B865" s="1"/>
      <c r="C865" s="1"/>
      <c r="D865" s="1"/>
      <c r="G865" s="113"/>
      <c r="H865" s="1"/>
      <c r="I865" s="1"/>
      <c r="J865" s="136"/>
      <c r="M865" s="1"/>
      <c r="P865" s="1"/>
      <c r="Q865" s="1"/>
      <c r="U865" s="1"/>
      <c r="AA865" s="1"/>
    </row>
    <row r="866" ht="15.75" customHeight="1">
      <c r="A866" s="1"/>
      <c r="B866" s="1"/>
      <c r="C866" s="1"/>
      <c r="D866" s="1"/>
      <c r="G866" s="113"/>
      <c r="H866" s="1"/>
      <c r="I866" s="1"/>
      <c r="J866" s="136"/>
      <c r="M866" s="1"/>
      <c r="P866" s="1"/>
      <c r="Q866" s="1"/>
      <c r="U866" s="1"/>
      <c r="AA866" s="1"/>
    </row>
    <row r="867" ht="15.75" customHeight="1">
      <c r="A867" s="1"/>
      <c r="B867" s="1"/>
      <c r="C867" s="1"/>
      <c r="D867" s="1"/>
      <c r="G867" s="113"/>
      <c r="H867" s="1"/>
      <c r="I867" s="1"/>
      <c r="J867" s="136"/>
      <c r="M867" s="1"/>
      <c r="P867" s="1"/>
      <c r="Q867" s="1"/>
      <c r="U867" s="1"/>
      <c r="AA867" s="1"/>
    </row>
    <row r="868" ht="15.75" customHeight="1">
      <c r="A868" s="1"/>
      <c r="B868" s="1"/>
      <c r="C868" s="1"/>
      <c r="D868" s="1"/>
      <c r="G868" s="113"/>
      <c r="H868" s="1"/>
      <c r="I868" s="1"/>
      <c r="J868" s="136"/>
      <c r="M868" s="1"/>
      <c r="P868" s="1"/>
      <c r="Q868" s="1"/>
      <c r="U868" s="1"/>
      <c r="AA868" s="1"/>
    </row>
    <row r="869" ht="15.75" customHeight="1">
      <c r="A869" s="1"/>
      <c r="B869" s="1"/>
      <c r="C869" s="1"/>
      <c r="D869" s="1"/>
      <c r="G869" s="113"/>
      <c r="H869" s="1"/>
      <c r="I869" s="1"/>
      <c r="J869" s="136"/>
      <c r="M869" s="1"/>
      <c r="P869" s="1"/>
      <c r="Q869" s="1"/>
      <c r="U869" s="1"/>
      <c r="AA869" s="1"/>
    </row>
    <row r="870" ht="15.75" customHeight="1">
      <c r="A870" s="1"/>
      <c r="B870" s="1"/>
      <c r="C870" s="1"/>
      <c r="D870" s="1"/>
      <c r="G870" s="113"/>
      <c r="H870" s="1"/>
      <c r="I870" s="1"/>
      <c r="J870" s="136"/>
      <c r="M870" s="1"/>
      <c r="P870" s="1"/>
      <c r="Q870" s="1"/>
      <c r="U870" s="1"/>
      <c r="AA870" s="1"/>
    </row>
    <row r="871" ht="15.75" customHeight="1">
      <c r="A871" s="1"/>
      <c r="B871" s="1"/>
      <c r="C871" s="1"/>
      <c r="D871" s="1"/>
      <c r="G871" s="113"/>
      <c r="H871" s="1"/>
      <c r="I871" s="1"/>
      <c r="J871" s="136"/>
      <c r="M871" s="1"/>
      <c r="P871" s="1"/>
      <c r="Q871" s="1"/>
      <c r="U871" s="1"/>
      <c r="AA871" s="1"/>
    </row>
    <row r="872" ht="15.75" customHeight="1">
      <c r="A872" s="1"/>
      <c r="B872" s="1"/>
      <c r="C872" s="1"/>
      <c r="D872" s="1"/>
      <c r="G872" s="113"/>
      <c r="H872" s="1"/>
      <c r="I872" s="1"/>
      <c r="J872" s="136"/>
      <c r="M872" s="1"/>
      <c r="P872" s="1"/>
      <c r="Q872" s="1"/>
      <c r="U872" s="1"/>
      <c r="AA872" s="1"/>
    </row>
    <row r="873" ht="15.75" customHeight="1">
      <c r="A873" s="1"/>
      <c r="B873" s="1"/>
      <c r="C873" s="1"/>
      <c r="D873" s="1"/>
      <c r="G873" s="113"/>
      <c r="H873" s="1"/>
      <c r="I873" s="1"/>
      <c r="J873" s="136"/>
      <c r="M873" s="1"/>
      <c r="P873" s="1"/>
      <c r="Q873" s="1"/>
      <c r="U873" s="1"/>
      <c r="AA873" s="1"/>
    </row>
    <row r="874" ht="15.75" customHeight="1">
      <c r="A874" s="1"/>
      <c r="B874" s="1"/>
      <c r="C874" s="1"/>
      <c r="D874" s="1"/>
      <c r="G874" s="113"/>
      <c r="H874" s="1"/>
      <c r="I874" s="1"/>
      <c r="J874" s="136"/>
      <c r="M874" s="1"/>
      <c r="P874" s="1"/>
      <c r="Q874" s="1"/>
      <c r="U874" s="1"/>
      <c r="AA874" s="1"/>
    </row>
    <row r="875" ht="15.75" customHeight="1">
      <c r="A875" s="1"/>
      <c r="B875" s="1"/>
      <c r="C875" s="1"/>
      <c r="D875" s="1"/>
      <c r="G875" s="113"/>
      <c r="H875" s="1"/>
      <c r="I875" s="1"/>
      <c r="J875" s="136"/>
      <c r="M875" s="1"/>
      <c r="P875" s="1"/>
      <c r="Q875" s="1"/>
      <c r="U875" s="1"/>
      <c r="AA875" s="1"/>
    </row>
    <row r="876" ht="15.75" customHeight="1">
      <c r="A876" s="1"/>
      <c r="B876" s="1"/>
      <c r="C876" s="1"/>
      <c r="D876" s="1"/>
      <c r="G876" s="113"/>
      <c r="H876" s="1"/>
      <c r="I876" s="1"/>
      <c r="J876" s="136"/>
      <c r="M876" s="1"/>
      <c r="P876" s="1"/>
      <c r="Q876" s="1"/>
      <c r="U876" s="1"/>
      <c r="AA876" s="1"/>
    </row>
    <row r="877" ht="15.75" customHeight="1">
      <c r="A877" s="1"/>
      <c r="B877" s="1"/>
      <c r="C877" s="1"/>
      <c r="D877" s="1"/>
      <c r="G877" s="113"/>
      <c r="H877" s="1"/>
      <c r="I877" s="1"/>
      <c r="J877" s="136"/>
      <c r="M877" s="1"/>
      <c r="P877" s="1"/>
      <c r="Q877" s="1"/>
      <c r="U877" s="1"/>
      <c r="AA877" s="1"/>
    </row>
    <row r="878" ht="15.75" customHeight="1">
      <c r="A878" s="1"/>
      <c r="B878" s="1"/>
      <c r="C878" s="1"/>
      <c r="D878" s="1"/>
      <c r="G878" s="113"/>
      <c r="H878" s="1"/>
      <c r="I878" s="1"/>
      <c r="J878" s="136"/>
      <c r="M878" s="1"/>
      <c r="P878" s="1"/>
      <c r="Q878" s="1"/>
      <c r="U878" s="1"/>
      <c r="AA878" s="1"/>
    </row>
    <row r="879" ht="15.75" customHeight="1">
      <c r="A879" s="1"/>
      <c r="B879" s="1"/>
      <c r="C879" s="1"/>
      <c r="D879" s="1"/>
      <c r="G879" s="113"/>
      <c r="H879" s="1"/>
      <c r="I879" s="1"/>
      <c r="J879" s="136"/>
      <c r="M879" s="1"/>
      <c r="P879" s="1"/>
      <c r="Q879" s="1"/>
      <c r="U879" s="1"/>
      <c r="AA879" s="1"/>
    </row>
    <row r="880" ht="15.75" customHeight="1">
      <c r="A880" s="1"/>
      <c r="B880" s="1"/>
      <c r="C880" s="1"/>
      <c r="D880" s="1"/>
      <c r="G880" s="113"/>
      <c r="H880" s="1"/>
      <c r="I880" s="1"/>
      <c r="J880" s="136"/>
      <c r="M880" s="1"/>
      <c r="P880" s="1"/>
      <c r="Q880" s="1"/>
      <c r="U880" s="1"/>
      <c r="AA880" s="1"/>
    </row>
    <row r="881" ht="15.75" customHeight="1">
      <c r="A881" s="1"/>
      <c r="B881" s="1"/>
      <c r="C881" s="1"/>
      <c r="D881" s="1"/>
      <c r="G881" s="113"/>
      <c r="H881" s="1"/>
      <c r="I881" s="1"/>
      <c r="J881" s="136"/>
      <c r="M881" s="1"/>
      <c r="P881" s="1"/>
      <c r="Q881" s="1"/>
      <c r="U881" s="1"/>
      <c r="AA881" s="1"/>
    </row>
    <row r="882" ht="15.75" customHeight="1">
      <c r="A882" s="1"/>
      <c r="B882" s="1"/>
      <c r="C882" s="1"/>
      <c r="D882" s="1"/>
      <c r="G882" s="113"/>
      <c r="H882" s="1"/>
      <c r="I882" s="1"/>
      <c r="J882" s="136"/>
      <c r="M882" s="1"/>
      <c r="P882" s="1"/>
      <c r="Q882" s="1"/>
      <c r="U882" s="1"/>
      <c r="AA882" s="1"/>
    </row>
    <row r="883" ht="15.75" customHeight="1">
      <c r="A883" s="1"/>
      <c r="B883" s="1"/>
      <c r="C883" s="1"/>
      <c r="D883" s="1"/>
      <c r="G883" s="113"/>
      <c r="H883" s="1"/>
      <c r="I883" s="1"/>
      <c r="J883" s="136"/>
      <c r="M883" s="1"/>
      <c r="P883" s="1"/>
      <c r="Q883" s="1"/>
      <c r="U883" s="1"/>
      <c r="AA883" s="1"/>
    </row>
    <row r="884" ht="15.75" customHeight="1">
      <c r="A884" s="1"/>
      <c r="B884" s="1"/>
      <c r="C884" s="1"/>
      <c r="D884" s="1"/>
      <c r="G884" s="113"/>
      <c r="H884" s="1"/>
      <c r="I884" s="1"/>
      <c r="J884" s="136"/>
      <c r="M884" s="1"/>
      <c r="P884" s="1"/>
      <c r="Q884" s="1"/>
      <c r="U884" s="1"/>
      <c r="AA884" s="1"/>
    </row>
    <row r="885" ht="15.75" customHeight="1">
      <c r="A885" s="1"/>
      <c r="B885" s="1"/>
      <c r="C885" s="1"/>
      <c r="D885" s="1"/>
      <c r="G885" s="113"/>
      <c r="H885" s="1"/>
      <c r="I885" s="1"/>
      <c r="J885" s="136"/>
      <c r="M885" s="1"/>
      <c r="P885" s="1"/>
      <c r="Q885" s="1"/>
      <c r="U885" s="1"/>
      <c r="AA885" s="1"/>
    </row>
    <row r="886" ht="15.75" customHeight="1">
      <c r="A886" s="1"/>
      <c r="B886" s="1"/>
      <c r="C886" s="1"/>
      <c r="D886" s="1"/>
      <c r="G886" s="113"/>
      <c r="H886" s="1"/>
      <c r="I886" s="1"/>
      <c r="J886" s="136"/>
      <c r="M886" s="1"/>
      <c r="P886" s="1"/>
      <c r="Q886" s="1"/>
      <c r="U886" s="1"/>
      <c r="AA886" s="1"/>
    </row>
    <row r="887" ht="15.75" customHeight="1">
      <c r="A887" s="1"/>
      <c r="B887" s="1"/>
      <c r="C887" s="1"/>
      <c r="D887" s="1"/>
      <c r="G887" s="113"/>
      <c r="H887" s="1"/>
      <c r="I887" s="1"/>
      <c r="J887" s="136"/>
      <c r="M887" s="1"/>
      <c r="P887" s="1"/>
      <c r="Q887" s="1"/>
      <c r="U887" s="1"/>
      <c r="AA887" s="1"/>
    </row>
    <row r="888" ht="15.75" customHeight="1">
      <c r="A888" s="1"/>
      <c r="B888" s="1"/>
      <c r="C888" s="1"/>
      <c r="D888" s="1"/>
      <c r="G888" s="113"/>
      <c r="H888" s="1"/>
      <c r="I888" s="1"/>
      <c r="J888" s="136"/>
      <c r="M888" s="1"/>
      <c r="P888" s="1"/>
      <c r="Q888" s="1"/>
      <c r="U888" s="1"/>
      <c r="AA888" s="1"/>
    </row>
    <row r="889" ht="15.75" customHeight="1">
      <c r="A889" s="1"/>
      <c r="B889" s="1"/>
      <c r="C889" s="1"/>
      <c r="D889" s="1"/>
      <c r="G889" s="113"/>
      <c r="H889" s="1"/>
      <c r="I889" s="1"/>
      <c r="J889" s="136"/>
      <c r="M889" s="1"/>
      <c r="P889" s="1"/>
      <c r="Q889" s="1"/>
      <c r="U889" s="1"/>
      <c r="AA889" s="1"/>
    </row>
    <row r="890" ht="15.75" customHeight="1">
      <c r="A890" s="1"/>
      <c r="B890" s="1"/>
      <c r="C890" s="1"/>
      <c r="D890" s="1"/>
      <c r="G890" s="113"/>
      <c r="H890" s="1"/>
      <c r="I890" s="1"/>
      <c r="J890" s="136"/>
      <c r="M890" s="1"/>
      <c r="P890" s="1"/>
      <c r="Q890" s="1"/>
      <c r="U890" s="1"/>
      <c r="AA890" s="1"/>
    </row>
    <row r="891" ht="15.75" customHeight="1">
      <c r="A891" s="1"/>
      <c r="B891" s="1"/>
      <c r="C891" s="1"/>
      <c r="D891" s="1"/>
      <c r="G891" s="113"/>
      <c r="H891" s="1"/>
      <c r="I891" s="1"/>
      <c r="J891" s="136"/>
      <c r="M891" s="1"/>
      <c r="P891" s="1"/>
      <c r="Q891" s="1"/>
      <c r="U891" s="1"/>
      <c r="AA891" s="1"/>
    </row>
    <row r="892" ht="15.75" customHeight="1">
      <c r="A892" s="1"/>
      <c r="B892" s="1"/>
      <c r="C892" s="1"/>
      <c r="D892" s="1"/>
      <c r="G892" s="113"/>
      <c r="H892" s="1"/>
      <c r="I892" s="1"/>
      <c r="J892" s="136"/>
      <c r="M892" s="1"/>
      <c r="P892" s="1"/>
      <c r="Q892" s="1"/>
      <c r="U892" s="1"/>
      <c r="AA892" s="1"/>
    </row>
    <row r="893" ht="15.75" customHeight="1">
      <c r="A893" s="1"/>
      <c r="B893" s="1"/>
      <c r="C893" s="1"/>
      <c r="D893" s="1"/>
      <c r="G893" s="113"/>
      <c r="H893" s="1"/>
      <c r="I893" s="1"/>
      <c r="J893" s="136"/>
      <c r="M893" s="1"/>
      <c r="P893" s="1"/>
      <c r="Q893" s="1"/>
      <c r="U893" s="1"/>
      <c r="AA893" s="1"/>
    </row>
    <row r="894" ht="15.75" customHeight="1">
      <c r="A894" s="1"/>
      <c r="B894" s="1"/>
      <c r="C894" s="1"/>
      <c r="D894" s="1"/>
      <c r="G894" s="113"/>
      <c r="H894" s="1"/>
      <c r="I894" s="1"/>
      <c r="J894" s="136"/>
      <c r="M894" s="1"/>
      <c r="P894" s="1"/>
      <c r="Q894" s="1"/>
      <c r="U894" s="1"/>
      <c r="AA894" s="1"/>
    </row>
    <row r="895" ht="15.75" customHeight="1">
      <c r="A895" s="1"/>
      <c r="B895" s="1"/>
      <c r="C895" s="1"/>
      <c r="D895" s="1"/>
      <c r="G895" s="113"/>
      <c r="H895" s="1"/>
      <c r="I895" s="1"/>
      <c r="J895" s="136"/>
      <c r="M895" s="1"/>
      <c r="P895" s="1"/>
      <c r="Q895" s="1"/>
      <c r="U895" s="1"/>
      <c r="AA895" s="1"/>
    </row>
    <row r="896" ht="15.75" customHeight="1">
      <c r="A896" s="1"/>
      <c r="B896" s="1"/>
      <c r="C896" s="1"/>
      <c r="D896" s="1"/>
      <c r="G896" s="113"/>
      <c r="H896" s="1"/>
      <c r="I896" s="1"/>
      <c r="J896" s="136"/>
      <c r="M896" s="1"/>
      <c r="P896" s="1"/>
      <c r="Q896" s="1"/>
      <c r="U896" s="1"/>
      <c r="AA896" s="1"/>
    </row>
    <row r="897" ht="15.75" customHeight="1">
      <c r="A897" s="1"/>
      <c r="B897" s="1"/>
      <c r="C897" s="1"/>
      <c r="D897" s="1"/>
      <c r="G897" s="113"/>
      <c r="H897" s="1"/>
      <c r="I897" s="1"/>
      <c r="J897" s="136"/>
      <c r="M897" s="1"/>
      <c r="P897" s="1"/>
      <c r="Q897" s="1"/>
      <c r="U897" s="1"/>
      <c r="AA897" s="1"/>
    </row>
    <row r="898" ht="15.75" customHeight="1">
      <c r="A898" s="1"/>
      <c r="B898" s="1"/>
      <c r="C898" s="1"/>
      <c r="D898" s="1"/>
      <c r="G898" s="113"/>
      <c r="H898" s="1"/>
      <c r="I898" s="1"/>
      <c r="J898" s="136"/>
      <c r="M898" s="1"/>
      <c r="P898" s="1"/>
      <c r="Q898" s="1"/>
      <c r="U898" s="1"/>
      <c r="AA898" s="1"/>
    </row>
    <row r="899" ht="15.75" customHeight="1">
      <c r="A899" s="1"/>
      <c r="B899" s="1"/>
      <c r="C899" s="1"/>
      <c r="D899" s="1"/>
      <c r="G899" s="113"/>
      <c r="H899" s="1"/>
      <c r="I899" s="1"/>
      <c r="J899" s="136"/>
      <c r="M899" s="1"/>
      <c r="P899" s="1"/>
      <c r="Q899" s="1"/>
      <c r="U899" s="1"/>
      <c r="AA899" s="1"/>
    </row>
    <row r="900" ht="15.75" customHeight="1">
      <c r="A900" s="1"/>
      <c r="B900" s="1"/>
      <c r="C900" s="1"/>
      <c r="D900" s="1"/>
      <c r="G900" s="113"/>
      <c r="H900" s="1"/>
      <c r="I900" s="1"/>
      <c r="J900" s="136"/>
      <c r="M900" s="1"/>
      <c r="P900" s="1"/>
      <c r="Q900" s="1"/>
      <c r="U900" s="1"/>
      <c r="AA900" s="1"/>
    </row>
    <row r="901" ht="15.75" customHeight="1">
      <c r="A901" s="1"/>
      <c r="B901" s="1"/>
      <c r="C901" s="1"/>
      <c r="D901" s="1"/>
      <c r="G901" s="113"/>
      <c r="H901" s="1"/>
      <c r="I901" s="1"/>
      <c r="J901" s="136"/>
      <c r="M901" s="1"/>
      <c r="P901" s="1"/>
      <c r="Q901" s="1"/>
      <c r="U901" s="1"/>
      <c r="AA901" s="1"/>
    </row>
    <row r="902" ht="15.75" customHeight="1">
      <c r="A902" s="1"/>
      <c r="B902" s="1"/>
      <c r="C902" s="1"/>
      <c r="D902" s="1"/>
      <c r="G902" s="113"/>
      <c r="H902" s="1"/>
      <c r="I902" s="1"/>
      <c r="J902" s="136"/>
      <c r="M902" s="1"/>
      <c r="P902" s="1"/>
      <c r="Q902" s="1"/>
      <c r="U902" s="1"/>
      <c r="AA902" s="1"/>
    </row>
    <row r="903" ht="15.75" customHeight="1">
      <c r="A903" s="1"/>
      <c r="B903" s="1"/>
      <c r="C903" s="1"/>
      <c r="D903" s="1"/>
      <c r="G903" s="113"/>
      <c r="H903" s="1"/>
      <c r="I903" s="1"/>
      <c r="J903" s="136"/>
      <c r="M903" s="1"/>
      <c r="P903" s="1"/>
      <c r="Q903" s="1"/>
      <c r="U903" s="1"/>
      <c r="AA903" s="1"/>
    </row>
    <row r="904" ht="15.75" customHeight="1">
      <c r="A904" s="1"/>
      <c r="B904" s="1"/>
      <c r="C904" s="1"/>
      <c r="D904" s="1"/>
      <c r="G904" s="113"/>
      <c r="H904" s="1"/>
      <c r="I904" s="1"/>
      <c r="J904" s="136"/>
      <c r="M904" s="1"/>
      <c r="P904" s="1"/>
      <c r="Q904" s="1"/>
      <c r="U904" s="1"/>
      <c r="AA904" s="1"/>
    </row>
    <row r="905" ht="15.75" customHeight="1">
      <c r="A905" s="1"/>
      <c r="B905" s="1"/>
      <c r="C905" s="1"/>
      <c r="D905" s="1"/>
      <c r="G905" s="113"/>
      <c r="H905" s="1"/>
      <c r="I905" s="1"/>
      <c r="J905" s="136"/>
      <c r="M905" s="1"/>
      <c r="P905" s="1"/>
      <c r="Q905" s="1"/>
      <c r="U905" s="1"/>
      <c r="AA905" s="1"/>
    </row>
    <row r="906" ht="15.75" customHeight="1">
      <c r="A906" s="1"/>
      <c r="B906" s="1"/>
      <c r="C906" s="1"/>
      <c r="D906" s="1"/>
      <c r="G906" s="113"/>
      <c r="H906" s="1"/>
      <c r="I906" s="1"/>
      <c r="J906" s="136"/>
      <c r="M906" s="1"/>
      <c r="P906" s="1"/>
      <c r="Q906" s="1"/>
      <c r="U906" s="1"/>
      <c r="AA906" s="1"/>
    </row>
    <row r="907" ht="15.75" customHeight="1">
      <c r="A907" s="1"/>
      <c r="B907" s="1"/>
      <c r="C907" s="1"/>
      <c r="D907" s="1"/>
      <c r="G907" s="113"/>
      <c r="H907" s="1"/>
      <c r="I907" s="1"/>
      <c r="J907" s="136"/>
      <c r="M907" s="1"/>
      <c r="P907" s="1"/>
      <c r="Q907" s="1"/>
      <c r="U907" s="1"/>
      <c r="AA907" s="1"/>
    </row>
    <row r="908" ht="15.75" customHeight="1">
      <c r="A908" s="1"/>
      <c r="B908" s="1"/>
      <c r="C908" s="1"/>
      <c r="D908" s="1"/>
      <c r="G908" s="113"/>
      <c r="H908" s="1"/>
      <c r="I908" s="1"/>
      <c r="J908" s="136"/>
      <c r="M908" s="1"/>
      <c r="P908" s="1"/>
      <c r="Q908" s="1"/>
      <c r="U908" s="1"/>
      <c r="AA908" s="1"/>
    </row>
    <row r="909" ht="15.75" customHeight="1">
      <c r="A909" s="1"/>
      <c r="B909" s="1"/>
      <c r="C909" s="1"/>
      <c r="D909" s="1"/>
      <c r="G909" s="113"/>
      <c r="H909" s="1"/>
      <c r="I909" s="1"/>
      <c r="J909" s="136"/>
      <c r="M909" s="1"/>
      <c r="P909" s="1"/>
      <c r="Q909" s="1"/>
      <c r="U909" s="1"/>
      <c r="AA909" s="1"/>
    </row>
    <row r="910" ht="15.75" customHeight="1">
      <c r="A910" s="1"/>
      <c r="B910" s="1"/>
      <c r="C910" s="1"/>
      <c r="D910" s="1"/>
      <c r="G910" s="113"/>
      <c r="H910" s="1"/>
      <c r="I910" s="1"/>
      <c r="J910" s="136"/>
      <c r="M910" s="1"/>
      <c r="P910" s="1"/>
      <c r="Q910" s="1"/>
      <c r="U910" s="1"/>
      <c r="AA910" s="1"/>
    </row>
    <row r="911" ht="15.75" customHeight="1">
      <c r="A911" s="1"/>
      <c r="B911" s="1"/>
      <c r="C911" s="1"/>
      <c r="D911" s="1"/>
      <c r="G911" s="113"/>
      <c r="H911" s="1"/>
      <c r="I911" s="1"/>
      <c r="J911" s="136"/>
      <c r="M911" s="1"/>
      <c r="P911" s="1"/>
      <c r="Q911" s="1"/>
      <c r="U911" s="1"/>
      <c r="AA911" s="1"/>
    </row>
    <row r="912" ht="15.75" customHeight="1">
      <c r="A912" s="1"/>
      <c r="B912" s="1"/>
      <c r="C912" s="1"/>
      <c r="D912" s="1"/>
      <c r="G912" s="113"/>
      <c r="H912" s="1"/>
      <c r="I912" s="1"/>
      <c r="J912" s="136"/>
      <c r="M912" s="1"/>
      <c r="P912" s="1"/>
      <c r="Q912" s="1"/>
      <c r="U912" s="1"/>
      <c r="AA912" s="1"/>
    </row>
    <row r="913" ht="15.75" customHeight="1">
      <c r="A913" s="1"/>
      <c r="B913" s="1"/>
      <c r="C913" s="1"/>
      <c r="D913" s="1"/>
      <c r="G913" s="113"/>
      <c r="H913" s="1"/>
      <c r="I913" s="1"/>
      <c r="J913" s="136"/>
      <c r="M913" s="1"/>
      <c r="P913" s="1"/>
      <c r="Q913" s="1"/>
      <c r="U913" s="1"/>
      <c r="AA913" s="1"/>
    </row>
    <row r="914" ht="15.75" customHeight="1">
      <c r="A914" s="1"/>
      <c r="B914" s="1"/>
      <c r="C914" s="1"/>
      <c r="D914" s="1"/>
      <c r="G914" s="113"/>
      <c r="H914" s="1"/>
      <c r="I914" s="1"/>
      <c r="J914" s="136"/>
      <c r="M914" s="1"/>
      <c r="P914" s="1"/>
      <c r="Q914" s="1"/>
      <c r="U914" s="1"/>
      <c r="AA914" s="1"/>
    </row>
    <row r="915" ht="15.75" customHeight="1">
      <c r="A915" s="1"/>
      <c r="B915" s="1"/>
      <c r="C915" s="1"/>
      <c r="D915" s="1"/>
      <c r="G915" s="113"/>
      <c r="H915" s="1"/>
      <c r="I915" s="1"/>
      <c r="J915" s="136"/>
      <c r="M915" s="1"/>
      <c r="P915" s="1"/>
      <c r="Q915" s="1"/>
      <c r="U915" s="1"/>
      <c r="AA915" s="1"/>
    </row>
    <row r="916" ht="15.75" customHeight="1">
      <c r="A916" s="1"/>
      <c r="B916" s="1"/>
      <c r="C916" s="1"/>
      <c r="D916" s="1"/>
      <c r="G916" s="113"/>
      <c r="H916" s="1"/>
      <c r="I916" s="1"/>
      <c r="J916" s="136"/>
      <c r="M916" s="1"/>
      <c r="P916" s="1"/>
      <c r="Q916" s="1"/>
      <c r="U916" s="1"/>
      <c r="AA916" s="1"/>
    </row>
    <row r="917" ht="15.75" customHeight="1">
      <c r="A917" s="1"/>
      <c r="B917" s="1"/>
      <c r="C917" s="1"/>
      <c r="D917" s="1"/>
      <c r="G917" s="113"/>
      <c r="H917" s="1"/>
      <c r="I917" s="1"/>
      <c r="J917" s="136"/>
      <c r="M917" s="1"/>
      <c r="P917" s="1"/>
      <c r="Q917" s="1"/>
      <c r="U917" s="1"/>
      <c r="AA917" s="1"/>
    </row>
    <row r="918" ht="15.75" customHeight="1">
      <c r="A918" s="1"/>
      <c r="B918" s="1"/>
      <c r="C918" s="1"/>
      <c r="D918" s="1"/>
      <c r="G918" s="113"/>
      <c r="H918" s="1"/>
      <c r="I918" s="1"/>
      <c r="J918" s="136"/>
      <c r="M918" s="1"/>
      <c r="P918" s="1"/>
      <c r="Q918" s="1"/>
      <c r="U918" s="1"/>
      <c r="AA918" s="1"/>
    </row>
    <row r="919" ht="15.75" customHeight="1">
      <c r="A919" s="1"/>
      <c r="B919" s="1"/>
      <c r="C919" s="1"/>
      <c r="D919" s="1"/>
      <c r="G919" s="113"/>
      <c r="H919" s="1"/>
      <c r="I919" s="1"/>
      <c r="J919" s="136"/>
      <c r="M919" s="1"/>
      <c r="P919" s="1"/>
      <c r="Q919" s="1"/>
      <c r="U919" s="1"/>
      <c r="AA919" s="1"/>
    </row>
    <row r="920" ht="15.75" customHeight="1">
      <c r="A920" s="1"/>
      <c r="B920" s="1"/>
      <c r="C920" s="1"/>
      <c r="D920" s="1"/>
      <c r="G920" s="113"/>
      <c r="H920" s="1"/>
      <c r="I920" s="1"/>
      <c r="J920" s="136"/>
      <c r="M920" s="1"/>
      <c r="P920" s="1"/>
      <c r="Q920" s="1"/>
      <c r="U920" s="1"/>
      <c r="AA920" s="1"/>
    </row>
    <row r="921" ht="15.75" customHeight="1">
      <c r="A921" s="1"/>
      <c r="B921" s="1"/>
      <c r="C921" s="1"/>
      <c r="D921" s="1"/>
      <c r="G921" s="113"/>
      <c r="H921" s="1"/>
      <c r="I921" s="1"/>
      <c r="J921" s="136"/>
      <c r="M921" s="1"/>
      <c r="P921" s="1"/>
      <c r="Q921" s="1"/>
      <c r="U921" s="1"/>
      <c r="AA921" s="1"/>
    </row>
    <row r="922" ht="15.75" customHeight="1">
      <c r="A922" s="1"/>
      <c r="B922" s="1"/>
      <c r="C922" s="1"/>
      <c r="D922" s="1"/>
      <c r="G922" s="113"/>
      <c r="H922" s="1"/>
      <c r="I922" s="1"/>
      <c r="J922" s="136"/>
      <c r="M922" s="1"/>
      <c r="P922" s="1"/>
      <c r="Q922" s="1"/>
      <c r="U922" s="1"/>
      <c r="AA922" s="1"/>
    </row>
    <row r="923" ht="15.75" customHeight="1">
      <c r="A923" s="1"/>
      <c r="B923" s="1"/>
      <c r="C923" s="1"/>
      <c r="D923" s="1"/>
      <c r="G923" s="113"/>
      <c r="H923" s="1"/>
      <c r="I923" s="1"/>
      <c r="J923" s="136"/>
      <c r="M923" s="1"/>
      <c r="P923" s="1"/>
      <c r="Q923" s="1"/>
      <c r="U923" s="1"/>
      <c r="AA923" s="1"/>
    </row>
    <row r="924" ht="15.75" customHeight="1">
      <c r="A924" s="1"/>
      <c r="B924" s="1"/>
      <c r="C924" s="1"/>
      <c r="D924" s="1"/>
      <c r="G924" s="113"/>
      <c r="H924" s="1"/>
      <c r="I924" s="1"/>
      <c r="J924" s="136"/>
      <c r="M924" s="1"/>
      <c r="P924" s="1"/>
      <c r="Q924" s="1"/>
      <c r="U924" s="1"/>
      <c r="AA924" s="1"/>
    </row>
    <row r="925" ht="15.75" customHeight="1">
      <c r="A925" s="1"/>
      <c r="B925" s="1"/>
      <c r="C925" s="1"/>
      <c r="D925" s="1"/>
      <c r="G925" s="113"/>
      <c r="H925" s="1"/>
      <c r="I925" s="1"/>
      <c r="J925" s="136"/>
      <c r="M925" s="1"/>
      <c r="P925" s="1"/>
      <c r="Q925" s="1"/>
      <c r="U925" s="1"/>
      <c r="AA925" s="1"/>
    </row>
    <row r="926" ht="15.75" customHeight="1">
      <c r="A926" s="1"/>
      <c r="B926" s="1"/>
      <c r="C926" s="1"/>
      <c r="D926" s="1"/>
      <c r="G926" s="113"/>
      <c r="H926" s="1"/>
      <c r="I926" s="1"/>
      <c r="J926" s="136"/>
      <c r="M926" s="1"/>
      <c r="P926" s="1"/>
      <c r="Q926" s="1"/>
      <c r="U926" s="1"/>
      <c r="AA926" s="1"/>
    </row>
    <row r="927" ht="15.75" customHeight="1">
      <c r="A927" s="1"/>
      <c r="B927" s="1"/>
      <c r="C927" s="1"/>
      <c r="D927" s="1"/>
      <c r="G927" s="113"/>
      <c r="H927" s="1"/>
      <c r="I927" s="1"/>
      <c r="J927" s="136"/>
      <c r="M927" s="1"/>
      <c r="P927" s="1"/>
      <c r="Q927" s="1"/>
      <c r="U927" s="1"/>
      <c r="AA927" s="1"/>
    </row>
    <row r="928" ht="15.75" customHeight="1">
      <c r="A928" s="1"/>
      <c r="B928" s="1"/>
      <c r="C928" s="1"/>
      <c r="D928" s="1"/>
      <c r="G928" s="113"/>
      <c r="H928" s="1"/>
      <c r="I928" s="1"/>
      <c r="J928" s="136"/>
      <c r="M928" s="1"/>
      <c r="P928" s="1"/>
      <c r="Q928" s="1"/>
      <c r="U928" s="1"/>
      <c r="AA928" s="1"/>
    </row>
    <row r="929" ht="15.75" customHeight="1">
      <c r="A929" s="1"/>
      <c r="B929" s="1"/>
      <c r="C929" s="1"/>
      <c r="D929" s="1"/>
      <c r="G929" s="113"/>
      <c r="H929" s="1"/>
      <c r="I929" s="1"/>
      <c r="J929" s="136"/>
      <c r="M929" s="1"/>
      <c r="P929" s="1"/>
      <c r="Q929" s="1"/>
      <c r="U929" s="1"/>
      <c r="AA929" s="1"/>
    </row>
    <row r="930" ht="15.75" customHeight="1">
      <c r="A930" s="1"/>
      <c r="B930" s="1"/>
      <c r="C930" s="1"/>
      <c r="D930" s="1"/>
      <c r="G930" s="113"/>
      <c r="H930" s="1"/>
      <c r="I930" s="1"/>
      <c r="J930" s="136"/>
      <c r="M930" s="1"/>
      <c r="P930" s="1"/>
      <c r="Q930" s="1"/>
      <c r="U930" s="1"/>
      <c r="AA930" s="1"/>
    </row>
    <row r="931" ht="15.75" customHeight="1">
      <c r="A931" s="1"/>
      <c r="B931" s="1"/>
      <c r="C931" s="1"/>
      <c r="D931" s="1"/>
      <c r="G931" s="113"/>
      <c r="H931" s="1"/>
      <c r="I931" s="1"/>
      <c r="J931" s="136"/>
      <c r="M931" s="1"/>
      <c r="P931" s="1"/>
      <c r="Q931" s="1"/>
      <c r="U931" s="1"/>
      <c r="AA931" s="1"/>
    </row>
    <row r="932" ht="15.75" customHeight="1">
      <c r="A932" s="1"/>
      <c r="B932" s="1"/>
      <c r="C932" s="1"/>
      <c r="D932" s="1"/>
      <c r="G932" s="113"/>
      <c r="H932" s="1"/>
      <c r="I932" s="1"/>
      <c r="J932" s="136"/>
      <c r="M932" s="1"/>
      <c r="P932" s="1"/>
      <c r="Q932" s="1"/>
      <c r="U932" s="1"/>
      <c r="AA932" s="1"/>
    </row>
    <row r="933" ht="15.75" customHeight="1">
      <c r="A933" s="1"/>
      <c r="B933" s="1"/>
      <c r="C933" s="1"/>
      <c r="D933" s="1"/>
      <c r="G933" s="113"/>
      <c r="H933" s="1"/>
      <c r="I933" s="1"/>
      <c r="J933" s="136"/>
      <c r="M933" s="1"/>
      <c r="P933" s="1"/>
      <c r="Q933" s="1"/>
      <c r="U933" s="1"/>
      <c r="AA933" s="1"/>
    </row>
    <row r="934" ht="15.75" customHeight="1">
      <c r="A934" s="1"/>
      <c r="B934" s="1"/>
      <c r="C934" s="1"/>
      <c r="D934" s="1"/>
      <c r="G934" s="113"/>
      <c r="H934" s="1"/>
      <c r="I934" s="1"/>
      <c r="J934" s="136"/>
      <c r="M934" s="1"/>
      <c r="P934" s="1"/>
      <c r="Q934" s="1"/>
      <c r="U934" s="1"/>
      <c r="AA934" s="1"/>
    </row>
    <row r="935" ht="15.75" customHeight="1">
      <c r="A935" s="1"/>
      <c r="B935" s="1"/>
      <c r="C935" s="1"/>
      <c r="D935" s="1"/>
      <c r="G935" s="113"/>
      <c r="H935" s="1"/>
      <c r="I935" s="1"/>
      <c r="J935" s="136"/>
      <c r="M935" s="1"/>
      <c r="P935" s="1"/>
      <c r="Q935" s="1"/>
      <c r="U935" s="1"/>
      <c r="AA935" s="1"/>
    </row>
    <row r="936" ht="15.75" customHeight="1">
      <c r="A936" s="1"/>
      <c r="B936" s="1"/>
      <c r="C936" s="1"/>
      <c r="D936" s="1"/>
      <c r="G936" s="113"/>
      <c r="H936" s="1"/>
      <c r="I936" s="1"/>
      <c r="J936" s="136"/>
      <c r="M936" s="1"/>
      <c r="P936" s="1"/>
      <c r="Q936" s="1"/>
      <c r="U936" s="1"/>
      <c r="AA936" s="1"/>
    </row>
    <row r="937" ht="15.75" customHeight="1">
      <c r="A937" s="1"/>
      <c r="B937" s="1"/>
      <c r="C937" s="1"/>
      <c r="D937" s="1"/>
      <c r="G937" s="113"/>
      <c r="H937" s="1"/>
      <c r="I937" s="1"/>
      <c r="J937" s="136"/>
      <c r="M937" s="1"/>
      <c r="P937" s="1"/>
      <c r="Q937" s="1"/>
      <c r="U937" s="1"/>
      <c r="AA937" s="1"/>
    </row>
    <row r="938" ht="15.75" customHeight="1">
      <c r="A938" s="1"/>
      <c r="B938" s="1"/>
      <c r="C938" s="1"/>
      <c r="D938" s="1"/>
      <c r="G938" s="113"/>
      <c r="H938" s="1"/>
      <c r="I938" s="1"/>
      <c r="J938" s="136"/>
      <c r="M938" s="1"/>
      <c r="P938" s="1"/>
      <c r="Q938" s="1"/>
      <c r="U938" s="1"/>
      <c r="AA938" s="1"/>
    </row>
    <row r="939" ht="15.75" customHeight="1">
      <c r="A939" s="1"/>
      <c r="B939" s="1"/>
      <c r="C939" s="1"/>
      <c r="D939" s="1"/>
      <c r="G939" s="113"/>
      <c r="H939" s="1"/>
      <c r="I939" s="1"/>
      <c r="J939" s="136"/>
      <c r="M939" s="1"/>
      <c r="P939" s="1"/>
      <c r="Q939" s="1"/>
      <c r="U939" s="1"/>
      <c r="AA939" s="1"/>
    </row>
    <row r="940" ht="15.75" customHeight="1">
      <c r="A940" s="1"/>
      <c r="B940" s="1"/>
      <c r="C940" s="1"/>
      <c r="D940" s="1"/>
      <c r="G940" s="113"/>
      <c r="H940" s="1"/>
      <c r="I940" s="1"/>
      <c r="J940" s="136"/>
      <c r="M940" s="1"/>
      <c r="P940" s="1"/>
      <c r="Q940" s="1"/>
      <c r="U940" s="1"/>
      <c r="AA940" s="1"/>
    </row>
    <row r="941" ht="15.75" customHeight="1">
      <c r="A941" s="1"/>
      <c r="B941" s="1"/>
      <c r="C941" s="1"/>
      <c r="D941" s="1"/>
      <c r="G941" s="113"/>
      <c r="H941" s="1"/>
      <c r="I941" s="1"/>
      <c r="J941" s="136"/>
      <c r="M941" s="1"/>
      <c r="P941" s="1"/>
      <c r="Q941" s="1"/>
      <c r="U941" s="1"/>
      <c r="AA941" s="1"/>
    </row>
    <row r="942" ht="15.75" customHeight="1">
      <c r="A942" s="1"/>
      <c r="B942" s="1"/>
      <c r="C942" s="1"/>
      <c r="D942" s="1"/>
      <c r="G942" s="113"/>
      <c r="H942" s="1"/>
      <c r="I942" s="1"/>
      <c r="J942" s="136"/>
      <c r="M942" s="1"/>
      <c r="P942" s="1"/>
      <c r="Q942" s="1"/>
      <c r="U942" s="1"/>
      <c r="AA942" s="1"/>
    </row>
    <row r="943" ht="15.75" customHeight="1">
      <c r="A943" s="1"/>
      <c r="B943" s="1"/>
      <c r="C943" s="1"/>
      <c r="D943" s="1"/>
      <c r="G943" s="113"/>
      <c r="H943" s="1"/>
      <c r="I943" s="1"/>
      <c r="J943" s="136"/>
      <c r="M943" s="1"/>
      <c r="P943" s="1"/>
      <c r="Q943" s="1"/>
      <c r="U943" s="1"/>
      <c r="AA943" s="1"/>
    </row>
    <row r="944" ht="15.75" customHeight="1">
      <c r="A944" s="1"/>
      <c r="B944" s="1"/>
      <c r="C944" s="1"/>
      <c r="D944" s="1"/>
      <c r="G944" s="113"/>
      <c r="H944" s="1"/>
      <c r="I944" s="1"/>
      <c r="J944" s="136"/>
      <c r="M944" s="1"/>
      <c r="P944" s="1"/>
      <c r="Q944" s="1"/>
      <c r="U944" s="1"/>
      <c r="AA944" s="1"/>
    </row>
    <row r="945" ht="15.75" customHeight="1">
      <c r="A945" s="1"/>
      <c r="B945" s="1"/>
      <c r="C945" s="1"/>
      <c r="D945" s="1"/>
      <c r="G945" s="113"/>
      <c r="H945" s="1"/>
      <c r="I945" s="1"/>
      <c r="J945" s="136"/>
      <c r="M945" s="1"/>
      <c r="P945" s="1"/>
      <c r="Q945" s="1"/>
      <c r="U945" s="1"/>
      <c r="AA945" s="1"/>
    </row>
    <row r="946" ht="15.75" customHeight="1">
      <c r="A946" s="1"/>
      <c r="B946" s="1"/>
      <c r="C946" s="1"/>
      <c r="D946" s="1"/>
      <c r="G946" s="113"/>
      <c r="H946" s="1"/>
      <c r="I946" s="1"/>
      <c r="J946" s="136"/>
      <c r="M946" s="1"/>
      <c r="P946" s="1"/>
      <c r="Q946" s="1"/>
      <c r="U946" s="1"/>
      <c r="AA946" s="1"/>
    </row>
    <row r="947" ht="15.75" customHeight="1">
      <c r="A947" s="1"/>
      <c r="B947" s="1"/>
      <c r="C947" s="1"/>
      <c r="D947" s="1"/>
      <c r="G947" s="113"/>
      <c r="H947" s="1"/>
      <c r="I947" s="1"/>
      <c r="J947" s="136"/>
      <c r="M947" s="1"/>
      <c r="P947" s="1"/>
      <c r="Q947" s="1"/>
      <c r="U947" s="1"/>
      <c r="AA947" s="1"/>
    </row>
    <row r="948" ht="15.75" customHeight="1">
      <c r="A948" s="1"/>
      <c r="B948" s="1"/>
      <c r="C948" s="1"/>
      <c r="D948" s="1"/>
      <c r="G948" s="113"/>
      <c r="H948" s="1"/>
      <c r="I948" s="1"/>
      <c r="J948" s="136"/>
      <c r="M948" s="1"/>
      <c r="P948" s="1"/>
      <c r="Q948" s="1"/>
      <c r="U948" s="1"/>
      <c r="AA948" s="1"/>
    </row>
    <row r="949" ht="15.75" customHeight="1">
      <c r="A949" s="1"/>
      <c r="B949" s="1"/>
      <c r="C949" s="1"/>
      <c r="D949" s="1"/>
      <c r="G949" s="113"/>
      <c r="H949" s="1"/>
      <c r="I949" s="1"/>
      <c r="J949" s="136"/>
      <c r="M949" s="1"/>
      <c r="P949" s="1"/>
      <c r="Q949" s="1"/>
      <c r="U949" s="1"/>
      <c r="AA949" s="1"/>
    </row>
    <row r="950" ht="15.75" customHeight="1">
      <c r="A950" s="1"/>
      <c r="B950" s="1"/>
      <c r="C950" s="1"/>
      <c r="D950" s="1"/>
      <c r="G950" s="113"/>
      <c r="H950" s="1"/>
      <c r="I950" s="1"/>
      <c r="J950" s="136"/>
      <c r="M950" s="1"/>
      <c r="P950" s="1"/>
      <c r="Q950" s="1"/>
      <c r="U950" s="1"/>
      <c r="AA950" s="1"/>
    </row>
    <row r="951" ht="15.75" customHeight="1">
      <c r="A951" s="1"/>
      <c r="B951" s="1"/>
      <c r="C951" s="1"/>
      <c r="D951" s="1"/>
      <c r="G951" s="113"/>
      <c r="H951" s="1"/>
      <c r="I951" s="1"/>
      <c r="J951" s="136"/>
      <c r="M951" s="1"/>
      <c r="P951" s="1"/>
      <c r="Q951" s="1"/>
      <c r="U951" s="1"/>
      <c r="AA951" s="1"/>
    </row>
    <row r="952" ht="15.75" customHeight="1">
      <c r="A952" s="1"/>
      <c r="B952" s="1"/>
      <c r="C952" s="1"/>
      <c r="D952" s="1"/>
      <c r="G952" s="113"/>
      <c r="H952" s="1"/>
      <c r="I952" s="1"/>
      <c r="J952" s="136"/>
      <c r="M952" s="1"/>
      <c r="P952" s="1"/>
      <c r="Q952" s="1"/>
      <c r="U952" s="1"/>
      <c r="AA952" s="1"/>
    </row>
    <row r="953" ht="15.75" customHeight="1">
      <c r="A953" s="1"/>
      <c r="B953" s="1"/>
      <c r="C953" s="1"/>
      <c r="D953" s="1"/>
      <c r="G953" s="113"/>
      <c r="H953" s="1"/>
      <c r="I953" s="1"/>
      <c r="J953" s="136"/>
      <c r="M953" s="1"/>
      <c r="P953" s="1"/>
      <c r="Q953" s="1"/>
      <c r="U953" s="1"/>
      <c r="AA953" s="1"/>
    </row>
    <row r="954" ht="15.75" customHeight="1">
      <c r="A954" s="1"/>
      <c r="B954" s="1"/>
      <c r="C954" s="1"/>
      <c r="D954" s="1"/>
      <c r="G954" s="113"/>
      <c r="H954" s="1"/>
      <c r="I954" s="1"/>
      <c r="J954" s="136"/>
      <c r="M954" s="1"/>
      <c r="P954" s="1"/>
      <c r="Q954" s="1"/>
      <c r="U954" s="1"/>
      <c r="AA954" s="1"/>
    </row>
    <row r="955" ht="15.75" customHeight="1">
      <c r="A955" s="1"/>
      <c r="B955" s="1"/>
      <c r="C955" s="1"/>
      <c r="D955" s="1"/>
      <c r="G955" s="113"/>
      <c r="H955" s="1"/>
      <c r="I955" s="1"/>
      <c r="J955" s="136"/>
      <c r="M955" s="1"/>
      <c r="P955" s="1"/>
      <c r="Q955" s="1"/>
      <c r="U955" s="1"/>
      <c r="AA955" s="1"/>
    </row>
    <row r="956" ht="15.75" customHeight="1">
      <c r="A956" s="1"/>
      <c r="B956" s="1"/>
      <c r="C956" s="1"/>
      <c r="D956" s="1"/>
      <c r="G956" s="113"/>
      <c r="H956" s="1"/>
      <c r="I956" s="1"/>
      <c r="J956" s="136"/>
      <c r="M956" s="1"/>
      <c r="P956" s="1"/>
      <c r="Q956" s="1"/>
      <c r="U956" s="1"/>
      <c r="AA956" s="1"/>
    </row>
    <row r="957" ht="15.75" customHeight="1">
      <c r="A957" s="1"/>
      <c r="B957" s="1"/>
      <c r="C957" s="1"/>
      <c r="D957" s="1"/>
      <c r="G957" s="113"/>
      <c r="H957" s="1"/>
      <c r="I957" s="1"/>
      <c r="J957" s="136"/>
      <c r="M957" s="1"/>
      <c r="P957" s="1"/>
      <c r="Q957" s="1"/>
      <c r="U957" s="1"/>
      <c r="AA957" s="1"/>
    </row>
    <row r="958" ht="15.75" customHeight="1">
      <c r="A958" s="1"/>
      <c r="B958" s="1"/>
      <c r="C958" s="1"/>
      <c r="D958" s="1"/>
      <c r="G958" s="113"/>
      <c r="H958" s="1"/>
      <c r="I958" s="1"/>
      <c r="J958" s="136"/>
      <c r="M958" s="1"/>
      <c r="P958" s="1"/>
      <c r="Q958" s="1"/>
      <c r="U958" s="1"/>
      <c r="AA958" s="1"/>
    </row>
    <row r="959" ht="15.75" customHeight="1">
      <c r="A959" s="1"/>
      <c r="B959" s="1"/>
      <c r="C959" s="1"/>
      <c r="D959" s="1"/>
      <c r="G959" s="113"/>
      <c r="H959" s="1"/>
      <c r="I959" s="1"/>
      <c r="J959" s="136"/>
      <c r="M959" s="1"/>
      <c r="P959" s="1"/>
      <c r="Q959" s="1"/>
      <c r="U959" s="1"/>
      <c r="AA959" s="1"/>
    </row>
    <row r="960" ht="15.75" customHeight="1">
      <c r="A960" s="1"/>
      <c r="B960" s="1"/>
      <c r="C960" s="1"/>
      <c r="D960" s="1"/>
      <c r="G960" s="113"/>
      <c r="H960" s="1"/>
      <c r="I960" s="1"/>
      <c r="J960" s="136"/>
      <c r="M960" s="1"/>
      <c r="P960" s="1"/>
      <c r="Q960" s="1"/>
      <c r="U960" s="1"/>
      <c r="AA960" s="1"/>
    </row>
    <row r="961" ht="15.75" customHeight="1">
      <c r="A961" s="1"/>
      <c r="B961" s="1"/>
      <c r="C961" s="1"/>
      <c r="D961" s="1"/>
      <c r="G961" s="113"/>
      <c r="H961" s="1"/>
      <c r="I961" s="1"/>
      <c r="J961" s="136"/>
      <c r="M961" s="1"/>
      <c r="P961" s="1"/>
      <c r="Q961" s="1"/>
      <c r="U961" s="1"/>
      <c r="AA961" s="1"/>
    </row>
    <row r="962" ht="15.75" customHeight="1">
      <c r="A962" s="1"/>
      <c r="B962" s="1"/>
      <c r="C962" s="1"/>
      <c r="D962" s="1"/>
      <c r="G962" s="113"/>
      <c r="H962" s="1"/>
      <c r="I962" s="1"/>
      <c r="J962" s="136"/>
      <c r="M962" s="1"/>
      <c r="P962" s="1"/>
      <c r="Q962" s="1"/>
      <c r="U962" s="1"/>
      <c r="AA962" s="1"/>
    </row>
    <row r="963" ht="15.75" customHeight="1">
      <c r="A963" s="1"/>
      <c r="B963" s="1"/>
      <c r="C963" s="1"/>
      <c r="D963" s="1"/>
      <c r="G963" s="113"/>
      <c r="H963" s="1"/>
      <c r="I963" s="1"/>
      <c r="J963" s="136"/>
      <c r="M963" s="1"/>
      <c r="P963" s="1"/>
      <c r="Q963" s="1"/>
      <c r="U963" s="1"/>
      <c r="AA963" s="1"/>
    </row>
    <row r="964" ht="15.75" customHeight="1">
      <c r="A964" s="1"/>
      <c r="B964" s="1"/>
      <c r="C964" s="1"/>
      <c r="D964" s="1"/>
      <c r="G964" s="113"/>
      <c r="H964" s="1"/>
      <c r="I964" s="1"/>
      <c r="J964" s="136"/>
      <c r="M964" s="1"/>
      <c r="P964" s="1"/>
      <c r="Q964" s="1"/>
      <c r="U964" s="1"/>
      <c r="AA964" s="1"/>
    </row>
    <row r="965" ht="15.75" customHeight="1">
      <c r="A965" s="1"/>
      <c r="B965" s="1"/>
      <c r="C965" s="1"/>
      <c r="D965" s="1"/>
      <c r="G965" s="113"/>
      <c r="H965" s="1"/>
      <c r="I965" s="1"/>
      <c r="J965" s="136"/>
      <c r="M965" s="1"/>
      <c r="P965" s="1"/>
      <c r="Q965" s="1"/>
      <c r="U965" s="1"/>
      <c r="AA965" s="1"/>
    </row>
    <row r="966" ht="15.75" customHeight="1">
      <c r="A966" s="1"/>
      <c r="B966" s="1"/>
      <c r="C966" s="1"/>
      <c r="D966" s="1"/>
      <c r="G966" s="113"/>
      <c r="H966" s="1"/>
      <c r="I966" s="1"/>
      <c r="J966" s="136"/>
      <c r="M966" s="1"/>
      <c r="P966" s="1"/>
      <c r="Q966" s="1"/>
      <c r="U966" s="1"/>
      <c r="AA966" s="1"/>
    </row>
    <row r="967" ht="15.75" customHeight="1">
      <c r="A967" s="1"/>
      <c r="B967" s="1"/>
      <c r="C967" s="1"/>
      <c r="D967" s="1"/>
      <c r="G967" s="113"/>
      <c r="H967" s="1"/>
      <c r="I967" s="1"/>
      <c r="J967" s="136"/>
      <c r="M967" s="1"/>
      <c r="P967" s="1"/>
      <c r="Q967" s="1"/>
      <c r="U967" s="1"/>
      <c r="AA967" s="1"/>
    </row>
    <row r="968" ht="15.75" customHeight="1">
      <c r="A968" s="1"/>
      <c r="B968" s="1"/>
      <c r="C968" s="1"/>
      <c r="D968" s="1"/>
      <c r="G968" s="113"/>
      <c r="H968" s="1"/>
      <c r="I968" s="1"/>
      <c r="J968" s="136"/>
      <c r="M968" s="1"/>
      <c r="P968" s="1"/>
      <c r="Q968" s="1"/>
      <c r="U968" s="1"/>
      <c r="AA968" s="1"/>
    </row>
    <row r="969" ht="15.75" customHeight="1">
      <c r="A969" s="1"/>
      <c r="B969" s="1"/>
      <c r="C969" s="1"/>
      <c r="D969" s="1"/>
      <c r="G969" s="113"/>
      <c r="H969" s="1"/>
      <c r="I969" s="1"/>
      <c r="J969" s="136"/>
      <c r="M969" s="1"/>
      <c r="P969" s="1"/>
      <c r="Q969" s="1"/>
      <c r="U969" s="1"/>
      <c r="AA969" s="1"/>
    </row>
    <row r="970" ht="15.75" customHeight="1">
      <c r="A970" s="1"/>
      <c r="B970" s="1"/>
      <c r="C970" s="1"/>
      <c r="D970" s="1"/>
      <c r="G970" s="113"/>
      <c r="H970" s="1"/>
      <c r="I970" s="1"/>
      <c r="J970" s="136"/>
      <c r="M970" s="1"/>
      <c r="P970" s="1"/>
      <c r="Q970" s="1"/>
      <c r="U970" s="1"/>
      <c r="AA970" s="1"/>
    </row>
    <row r="971" ht="15.75" customHeight="1">
      <c r="A971" s="1"/>
      <c r="B971" s="1"/>
      <c r="C971" s="1"/>
      <c r="D971" s="1"/>
      <c r="G971" s="113"/>
      <c r="H971" s="1"/>
      <c r="I971" s="1"/>
      <c r="J971" s="136"/>
      <c r="M971" s="1"/>
      <c r="P971" s="1"/>
      <c r="Q971" s="1"/>
      <c r="U971" s="1"/>
      <c r="AA971" s="1"/>
    </row>
    <row r="972" ht="15.75" customHeight="1">
      <c r="A972" s="1"/>
      <c r="B972" s="1"/>
      <c r="C972" s="1"/>
      <c r="D972" s="1"/>
      <c r="G972" s="113"/>
      <c r="H972" s="1"/>
      <c r="I972" s="1"/>
      <c r="J972" s="136"/>
      <c r="M972" s="1"/>
      <c r="P972" s="1"/>
      <c r="Q972" s="1"/>
      <c r="U972" s="1"/>
      <c r="AA972" s="1"/>
    </row>
    <row r="973" ht="15.75" customHeight="1">
      <c r="A973" s="1"/>
      <c r="B973" s="1"/>
      <c r="C973" s="1"/>
      <c r="D973" s="1"/>
      <c r="G973" s="113"/>
      <c r="H973" s="1"/>
      <c r="I973" s="1"/>
      <c r="J973" s="136"/>
      <c r="M973" s="1"/>
      <c r="P973" s="1"/>
      <c r="Q973" s="1"/>
      <c r="U973" s="1"/>
      <c r="AA973" s="1"/>
    </row>
    <row r="974" ht="15.75" customHeight="1">
      <c r="A974" s="1"/>
      <c r="B974" s="1"/>
      <c r="C974" s="1"/>
      <c r="D974" s="1"/>
      <c r="G974" s="113"/>
      <c r="H974" s="1"/>
      <c r="I974" s="1"/>
      <c r="J974" s="136"/>
      <c r="M974" s="1"/>
      <c r="P974" s="1"/>
      <c r="Q974" s="1"/>
      <c r="U974" s="1"/>
      <c r="AA974" s="1"/>
    </row>
    <row r="975" ht="15.75" customHeight="1">
      <c r="A975" s="1"/>
      <c r="B975" s="1"/>
      <c r="C975" s="1"/>
      <c r="D975" s="1"/>
      <c r="G975" s="113"/>
      <c r="H975" s="1"/>
      <c r="I975" s="1"/>
      <c r="J975" s="136"/>
      <c r="M975" s="1"/>
      <c r="P975" s="1"/>
      <c r="Q975" s="1"/>
      <c r="U975" s="1"/>
      <c r="AA975" s="1"/>
    </row>
    <row r="976" ht="15.75" customHeight="1">
      <c r="A976" s="1"/>
      <c r="B976" s="1"/>
      <c r="C976" s="1"/>
      <c r="D976" s="1"/>
      <c r="G976" s="113"/>
      <c r="H976" s="1"/>
      <c r="I976" s="1"/>
      <c r="J976" s="136"/>
      <c r="M976" s="1"/>
      <c r="P976" s="1"/>
      <c r="Q976" s="1"/>
      <c r="U976" s="1"/>
      <c r="AA976" s="1"/>
    </row>
    <row r="977" ht="15.75" customHeight="1">
      <c r="A977" s="1"/>
      <c r="B977" s="1"/>
      <c r="C977" s="1"/>
      <c r="D977" s="1"/>
      <c r="G977" s="113"/>
      <c r="H977" s="1"/>
      <c r="I977" s="1"/>
      <c r="J977" s="136"/>
      <c r="M977" s="1"/>
      <c r="P977" s="1"/>
      <c r="Q977" s="1"/>
      <c r="U977" s="1"/>
      <c r="AA977" s="1"/>
    </row>
    <row r="978" ht="15.75" customHeight="1">
      <c r="A978" s="1"/>
      <c r="B978" s="1"/>
      <c r="C978" s="1"/>
      <c r="D978" s="1"/>
      <c r="G978" s="113"/>
      <c r="H978" s="1"/>
      <c r="I978" s="1"/>
      <c r="J978" s="136"/>
      <c r="M978" s="1"/>
      <c r="P978" s="1"/>
      <c r="Q978" s="1"/>
      <c r="U978" s="1"/>
      <c r="AA978" s="1"/>
    </row>
    <row r="979" ht="15.75" customHeight="1">
      <c r="A979" s="1"/>
      <c r="B979" s="1"/>
      <c r="C979" s="1"/>
      <c r="D979" s="1"/>
      <c r="G979" s="113"/>
      <c r="H979" s="1"/>
      <c r="I979" s="1"/>
      <c r="J979" s="136"/>
      <c r="M979" s="1"/>
      <c r="P979" s="1"/>
      <c r="Q979" s="1"/>
      <c r="U979" s="1"/>
      <c r="AA979" s="1"/>
    </row>
    <row r="980" ht="15.75" customHeight="1">
      <c r="A980" s="1"/>
      <c r="B980" s="1"/>
      <c r="C980" s="1"/>
      <c r="D980" s="1"/>
      <c r="G980" s="113"/>
      <c r="H980" s="1"/>
      <c r="I980" s="1"/>
      <c r="J980" s="136"/>
      <c r="M980" s="1"/>
      <c r="P980" s="1"/>
      <c r="Q980" s="1"/>
      <c r="U980" s="1"/>
      <c r="AA980" s="1"/>
    </row>
    <row r="981" ht="15.75" customHeight="1">
      <c r="A981" s="1"/>
      <c r="B981" s="1"/>
      <c r="C981" s="1"/>
      <c r="D981" s="1"/>
      <c r="G981" s="113"/>
      <c r="H981" s="1"/>
      <c r="I981" s="1"/>
      <c r="J981" s="136"/>
      <c r="M981" s="1"/>
      <c r="P981" s="1"/>
      <c r="Q981" s="1"/>
      <c r="U981" s="1"/>
      <c r="AA981" s="1"/>
    </row>
    <row r="982" ht="15.75" customHeight="1">
      <c r="A982" s="1"/>
      <c r="B982" s="1"/>
      <c r="C982" s="1"/>
      <c r="D982" s="1"/>
      <c r="G982" s="113"/>
      <c r="H982" s="1"/>
      <c r="I982" s="1"/>
      <c r="J982" s="136"/>
      <c r="M982" s="1"/>
      <c r="P982" s="1"/>
      <c r="Q982" s="1"/>
      <c r="U982" s="1"/>
      <c r="AA982" s="1"/>
    </row>
    <row r="983" ht="15.75" customHeight="1">
      <c r="A983" s="1"/>
      <c r="B983" s="1"/>
      <c r="C983" s="1"/>
      <c r="D983" s="1"/>
      <c r="G983" s="113"/>
      <c r="H983" s="1"/>
      <c r="I983" s="1"/>
      <c r="J983" s="136"/>
      <c r="M983" s="1"/>
      <c r="P983" s="1"/>
      <c r="Q983" s="1"/>
      <c r="U983" s="1"/>
      <c r="AA983" s="1"/>
    </row>
    <row r="984" ht="15.75" customHeight="1">
      <c r="A984" s="1"/>
      <c r="B984" s="1"/>
      <c r="C984" s="1"/>
      <c r="D984" s="1"/>
      <c r="G984" s="113"/>
      <c r="H984" s="1"/>
      <c r="I984" s="1"/>
      <c r="J984" s="136"/>
      <c r="M984" s="1"/>
      <c r="P984" s="1"/>
      <c r="Q984" s="1"/>
      <c r="U984" s="1"/>
      <c r="AA984" s="1"/>
    </row>
    <row r="985" ht="15.75" customHeight="1">
      <c r="A985" s="1"/>
      <c r="B985" s="1"/>
      <c r="C985" s="1"/>
      <c r="D985" s="1"/>
      <c r="G985" s="113"/>
      <c r="H985" s="1"/>
      <c r="I985" s="1"/>
      <c r="J985" s="136"/>
      <c r="M985" s="1"/>
      <c r="P985" s="1"/>
      <c r="Q985" s="1"/>
      <c r="U985" s="1"/>
      <c r="AA985" s="1"/>
    </row>
    <row r="986" ht="15.75" customHeight="1">
      <c r="A986" s="1"/>
      <c r="B986" s="1"/>
      <c r="C986" s="1"/>
      <c r="D986" s="1"/>
      <c r="G986" s="113"/>
      <c r="H986" s="1"/>
      <c r="I986" s="1"/>
      <c r="J986" s="136"/>
      <c r="M986" s="1"/>
      <c r="P986" s="1"/>
      <c r="Q986" s="1"/>
      <c r="U986" s="1"/>
      <c r="AA986" s="1"/>
    </row>
    <row r="987" ht="15.75" customHeight="1">
      <c r="A987" s="1"/>
      <c r="B987" s="1"/>
      <c r="C987" s="1"/>
      <c r="D987" s="1"/>
      <c r="G987" s="113"/>
      <c r="H987" s="1"/>
      <c r="I987" s="1"/>
      <c r="J987" s="136"/>
      <c r="M987" s="1"/>
      <c r="P987" s="1"/>
      <c r="Q987" s="1"/>
      <c r="U987" s="1"/>
      <c r="AA987" s="1"/>
    </row>
    <row r="988" ht="15.75" customHeight="1">
      <c r="A988" s="1"/>
      <c r="B988" s="1"/>
      <c r="C988" s="1"/>
      <c r="D988" s="1"/>
      <c r="G988" s="113"/>
      <c r="H988" s="1"/>
      <c r="I988" s="1"/>
      <c r="J988" s="136"/>
      <c r="M988" s="1"/>
      <c r="P988" s="1"/>
      <c r="Q988" s="1"/>
      <c r="U988" s="1"/>
      <c r="AA988" s="1"/>
    </row>
    <row r="989" ht="15.75" customHeight="1">
      <c r="A989" s="1"/>
      <c r="B989" s="1"/>
      <c r="C989" s="1"/>
      <c r="D989" s="1"/>
      <c r="G989" s="113"/>
      <c r="H989" s="1"/>
      <c r="I989" s="1"/>
      <c r="J989" s="136"/>
      <c r="M989" s="1"/>
      <c r="P989" s="1"/>
      <c r="Q989" s="1"/>
      <c r="U989" s="1"/>
      <c r="AA989" s="1"/>
    </row>
    <row r="990" ht="15.75" customHeight="1">
      <c r="A990" s="1"/>
      <c r="B990" s="1"/>
      <c r="C990" s="1"/>
      <c r="D990" s="1"/>
      <c r="G990" s="113"/>
      <c r="H990" s="1"/>
      <c r="I990" s="1"/>
      <c r="J990" s="136"/>
      <c r="M990" s="1"/>
      <c r="P990" s="1"/>
      <c r="Q990" s="1"/>
      <c r="U990" s="1"/>
      <c r="AA990" s="1"/>
    </row>
    <row r="991" ht="15.75" customHeight="1">
      <c r="A991" s="1"/>
      <c r="B991" s="1"/>
      <c r="C991" s="1"/>
      <c r="D991" s="1"/>
      <c r="G991" s="113"/>
      <c r="H991" s="1"/>
      <c r="I991" s="1"/>
      <c r="J991" s="136"/>
      <c r="M991" s="1"/>
      <c r="P991" s="1"/>
      <c r="Q991" s="1"/>
      <c r="U991" s="1"/>
      <c r="AA991" s="1"/>
    </row>
    <row r="992" ht="15.75" customHeight="1">
      <c r="A992" s="1"/>
      <c r="B992" s="1"/>
      <c r="C992" s="1"/>
      <c r="D992" s="1"/>
      <c r="G992" s="113"/>
      <c r="H992" s="1"/>
      <c r="I992" s="1"/>
      <c r="J992" s="136"/>
      <c r="M992" s="1"/>
      <c r="P992" s="1"/>
      <c r="Q992" s="1"/>
      <c r="U992" s="1"/>
      <c r="AA992" s="1"/>
    </row>
    <row r="993" ht="15.75" customHeight="1">
      <c r="A993" s="1"/>
      <c r="B993" s="1"/>
      <c r="C993" s="1"/>
      <c r="D993" s="1"/>
      <c r="G993" s="113"/>
      <c r="H993" s="1"/>
      <c r="I993" s="1"/>
      <c r="J993" s="136"/>
      <c r="M993" s="1"/>
      <c r="P993" s="1"/>
      <c r="Q993" s="1"/>
      <c r="U993" s="1"/>
      <c r="AA993" s="1"/>
    </row>
    <row r="994" ht="15.75" customHeight="1">
      <c r="A994" s="1"/>
      <c r="B994" s="1"/>
      <c r="C994" s="1"/>
      <c r="D994" s="1"/>
      <c r="G994" s="113"/>
      <c r="H994" s="1"/>
      <c r="I994" s="1"/>
      <c r="J994" s="136"/>
      <c r="M994" s="1"/>
      <c r="P994" s="1"/>
      <c r="Q994" s="1"/>
      <c r="U994" s="1"/>
      <c r="AA994" s="1"/>
    </row>
    <row r="995" ht="15.75" customHeight="1">
      <c r="A995" s="1"/>
      <c r="B995" s="1"/>
      <c r="C995" s="1"/>
      <c r="D995" s="1"/>
      <c r="G995" s="113"/>
      <c r="H995" s="1"/>
      <c r="I995" s="1"/>
      <c r="J995" s="136"/>
      <c r="M995" s="1"/>
      <c r="P995" s="1"/>
      <c r="Q995" s="1"/>
      <c r="U995" s="1"/>
      <c r="AA995" s="1"/>
    </row>
    <row r="996" ht="15.75" customHeight="1">
      <c r="A996" s="1"/>
      <c r="B996" s="1"/>
      <c r="C996" s="1"/>
      <c r="D996" s="1"/>
      <c r="G996" s="113"/>
      <c r="H996" s="1"/>
      <c r="I996" s="1"/>
      <c r="J996" s="136"/>
      <c r="M996" s="1"/>
      <c r="P996" s="1"/>
      <c r="Q996" s="1"/>
      <c r="U996" s="1"/>
      <c r="AA996" s="1"/>
    </row>
    <row r="997" ht="15.75" customHeight="1">
      <c r="A997" s="1"/>
      <c r="B997" s="1"/>
      <c r="C997" s="1"/>
      <c r="D997" s="1"/>
      <c r="G997" s="113"/>
      <c r="H997" s="1"/>
      <c r="I997" s="1"/>
      <c r="J997" s="136"/>
      <c r="M997" s="1"/>
      <c r="P997" s="1"/>
      <c r="Q997" s="1"/>
      <c r="U997" s="1"/>
      <c r="AA997" s="1"/>
    </row>
    <row r="998" ht="15.75" customHeight="1">
      <c r="A998" s="1"/>
      <c r="B998" s="1"/>
      <c r="C998" s="1"/>
      <c r="D998" s="1"/>
      <c r="G998" s="113"/>
      <c r="H998" s="1"/>
      <c r="I998" s="1"/>
      <c r="J998" s="136"/>
      <c r="M998" s="1"/>
      <c r="P998" s="1"/>
      <c r="Q998" s="1"/>
      <c r="U998" s="1"/>
      <c r="AA998" s="1"/>
    </row>
    <row r="999" ht="15.75" customHeight="1">
      <c r="A999" s="1"/>
      <c r="B999" s="1"/>
      <c r="C999" s="1"/>
      <c r="D999" s="1"/>
      <c r="G999" s="113"/>
      <c r="H999" s="1"/>
      <c r="I999" s="1"/>
      <c r="J999" s="136"/>
      <c r="M999" s="1"/>
      <c r="P999" s="1"/>
      <c r="Q999" s="1"/>
      <c r="U999" s="1"/>
      <c r="AA999" s="1"/>
    </row>
    <row r="1000" ht="15.75" customHeight="1">
      <c r="A1000" s="1"/>
      <c r="B1000" s="1"/>
      <c r="C1000" s="1"/>
      <c r="D1000" s="1"/>
      <c r="G1000" s="113"/>
      <c r="H1000" s="1"/>
      <c r="I1000" s="1"/>
      <c r="J1000" s="136"/>
      <c r="M1000" s="1"/>
      <c r="P1000" s="1"/>
      <c r="Q1000" s="1"/>
      <c r="U1000" s="1"/>
      <c r="AA1000" s="1"/>
    </row>
    <row r="1001" ht="15.75" customHeight="1">
      <c r="A1001" s="1"/>
      <c r="B1001" s="1"/>
      <c r="C1001" s="1"/>
      <c r="D1001" s="1"/>
      <c r="G1001" s="113"/>
      <c r="H1001" s="1"/>
      <c r="I1001" s="1"/>
      <c r="J1001" s="136"/>
      <c r="M1001" s="1"/>
      <c r="P1001" s="1"/>
      <c r="Q1001" s="1"/>
      <c r="U1001" s="1"/>
      <c r="AA1001" s="1"/>
    </row>
  </sheetData>
  <mergeCells count="37">
    <mergeCell ref="B3:B5"/>
    <mergeCell ref="C3:C5"/>
    <mergeCell ref="D3:D5"/>
    <mergeCell ref="E3:E5"/>
    <mergeCell ref="F3:F5"/>
    <mergeCell ref="G3:G5"/>
    <mergeCell ref="H3:I3"/>
    <mergeCell ref="J3:N3"/>
    <mergeCell ref="O3:P3"/>
    <mergeCell ref="R3:T3"/>
    <mergeCell ref="H4:H5"/>
    <mergeCell ref="I4:I5"/>
    <mergeCell ref="J4:L4"/>
    <mergeCell ref="M4:N4"/>
    <mergeCell ref="U3:Z3"/>
    <mergeCell ref="AA3:AB3"/>
    <mergeCell ref="C1:E1"/>
    <mergeCell ref="K1:M1"/>
    <mergeCell ref="N1:AB1"/>
    <mergeCell ref="C2:I2"/>
    <mergeCell ref="K2:M2"/>
    <mergeCell ref="N2:AB2"/>
    <mergeCell ref="A3:A5"/>
    <mergeCell ref="O4:O5"/>
    <mergeCell ref="P4:P5"/>
    <mergeCell ref="Q4:Q5"/>
    <mergeCell ref="R4:R5"/>
    <mergeCell ref="S4:S5"/>
    <mergeCell ref="T4:T5"/>
    <mergeCell ref="U4:U5"/>
    <mergeCell ref="V4:V5"/>
    <mergeCell ref="W4:W5"/>
    <mergeCell ref="X4:X5"/>
    <mergeCell ref="Y4:Y5"/>
    <mergeCell ref="Z4:Z5"/>
    <mergeCell ref="AA4:AA5"/>
    <mergeCell ref="AB4:AB5"/>
  </mergeCells>
  <conditionalFormatting sqref="F6:F56">
    <cfRule type="expression" dxfId="0" priority="1">
      <formula>F6="Yes"</formula>
    </cfRule>
  </conditionalFormatting>
  <dataValidations>
    <dataValidation type="list" allowBlank="1" sqref="D6:D56">
      <formula1>"Regular,Contractual,Visiting,Guest,Other"</formula1>
    </dataValidation>
    <dataValidation type="list" allowBlank="1" sqref="Z6:Z16 Z18:Z56">
      <formula1>"Ongoing,Completed,Closed,Not Started,NA"</formula1>
    </dataValidation>
    <dataValidation type="list" allowBlank="1" sqref="C6:C56">
      <formula1>"Professor,Associate Professor,Assistant Professor,Visiting Faculty,Guest Faculty,Other"</formula1>
    </dataValidation>
    <dataValidation type="list" allowBlank="1" sqref="F6:F56">
      <formula1>"Yes,No"</formula1>
    </dataValidation>
    <dataValidation type="list" allowBlank="1" sqref="Z17">
      <formula1>"Ongoing,Closed,Not Started,NA"</formula1>
    </dataValidation>
  </dataValidations>
  <hyperlinks>
    <hyperlink r:id="rId1" ref="Q6"/>
    <hyperlink r:id="rId2" ref="Q10"/>
  </hyperlinks>
  <printOptions/>
  <pageMargins bottom="0.75" footer="0.0" header="0.0" left="0.7" right="0.7" top="0.75"/>
  <pageSetup fitToHeight="0"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4" width="14.0"/>
    <col customWidth="1" min="5" max="6" width="20.0"/>
    <col customWidth="1" min="7" max="7" width="12.0"/>
    <col customWidth="1" min="8" max="8" width="30.0"/>
    <col customWidth="1" min="9" max="9" width="28.0"/>
    <col customWidth="1" min="10" max="10" width="13.0"/>
    <col customWidth="1" min="11" max="11" width="15.0"/>
    <col customWidth="1" min="12" max="12" width="13.0"/>
    <col customWidth="1" min="13" max="26" width="10.71"/>
  </cols>
  <sheetData>
    <row r="2" ht="30.75" customHeight="1">
      <c r="B2" s="4" t="s">
        <v>0</v>
      </c>
      <c r="C2" s="7"/>
      <c r="D2" s="7"/>
      <c r="E2" s="10" t="s">
        <v>3</v>
      </c>
      <c r="F2" s="7"/>
      <c r="G2" s="7"/>
      <c r="H2" s="7"/>
      <c r="I2" s="4" t="s">
        <v>4</v>
      </c>
      <c r="J2" s="7"/>
      <c r="K2" s="10" t="s">
        <v>6</v>
      </c>
      <c r="L2" s="7"/>
    </row>
    <row r="3" ht="30.75" customHeight="1">
      <c r="B3" s="4" t="s">
        <v>8</v>
      </c>
      <c r="C3" s="7"/>
      <c r="D3" s="7"/>
      <c r="E3" s="15"/>
      <c r="F3" s="7"/>
      <c r="G3" s="7"/>
      <c r="H3" s="7"/>
      <c r="I3" s="4" t="s">
        <v>9</v>
      </c>
      <c r="J3" s="7"/>
      <c r="K3" s="19">
        <v>46276.0</v>
      </c>
      <c r="L3" s="7"/>
    </row>
    <row r="4" ht="63.75" customHeight="1">
      <c r="A4" s="21" t="s">
        <v>11</v>
      </c>
      <c r="B4" s="21" t="s">
        <v>12</v>
      </c>
      <c r="C4" s="21" t="s">
        <v>13</v>
      </c>
      <c r="D4" s="21" t="s">
        <v>14</v>
      </c>
      <c r="E4" s="21" t="s">
        <v>15</v>
      </c>
      <c r="F4" s="21" t="s">
        <v>16</v>
      </c>
      <c r="G4" s="21" t="s">
        <v>17</v>
      </c>
      <c r="H4" s="21" t="s">
        <v>18</v>
      </c>
      <c r="I4" s="21" t="s">
        <v>19</v>
      </c>
      <c r="J4" s="21" t="s">
        <v>20</v>
      </c>
      <c r="K4" s="21" t="s">
        <v>21</v>
      </c>
      <c r="L4" s="21" t="s">
        <v>23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36">
        <f>IF(B5="","",ROW()-4)</f>
        <v>1</v>
      </c>
      <c r="B5" s="37" t="s">
        <v>37</v>
      </c>
      <c r="C5" s="37" t="s">
        <v>40</v>
      </c>
      <c r="D5" s="38" t="s">
        <v>42</v>
      </c>
      <c r="E5" s="37" t="s">
        <v>3</v>
      </c>
      <c r="F5" s="37" t="s">
        <v>44</v>
      </c>
      <c r="G5" s="38" t="s">
        <v>46</v>
      </c>
      <c r="H5" s="37" t="s">
        <v>48</v>
      </c>
      <c r="I5" s="37" t="s">
        <v>50</v>
      </c>
      <c r="J5" s="38">
        <v>100.0</v>
      </c>
      <c r="K5" s="37" t="s">
        <v>44</v>
      </c>
      <c r="L5" s="37" t="s">
        <v>52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>
      <c r="A6" s="46">
        <v>2.0</v>
      </c>
      <c r="B6" s="37" t="s">
        <v>57</v>
      </c>
      <c r="C6" s="37" t="s">
        <v>58</v>
      </c>
      <c r="D6" s="38" t="s">
        <v>59</v>
      </c>
      <c r="E6" s="37" t="s">
        <v>3</v>
      </c>
      <c r="F6" s="37" t="s">
        <v>44</v>
      </c>
      <c r="G6" s="38" t="s">
        <v>60</v>
      </c>
      <c r="H6" s="37" t="s">
        <v>63</v>
      </c>
      <c r="I6" s="37" t="s">
        <v>66</v>
      </c>
      <c r="J6" s="38">
        <v>100.0</v>
      </c>
      <c r="K6" s="37" t="s">
        <v>44</v>
      </c>
      <c r="L6" s="37" t="s">
        <v>44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>
      <c r="A7" s="46">
        <v>3.0</v>
      </c>
      <c r="B7" s="37" t="s">
        <v>71</v>
      </c>
      <c r="C7" s="37" t="s">
        <v>73</v>
      </c>
      <c r="D7" s="38" t="s">
        <v>59</v>
      </c>
      <c r="E7" s="37" t="s">
        <v>3</v>
      </c>
      <c r="F7" s="37" t="s">
        <v>44</v>
      </c>
      <c r="G7" s="38" t="s">
        <v>60</v>
      </c>
      <c r="H7" s="37" t="s">
        <v>77</v>
      </c>
      <c r="I7" s="37" t="s">
        <v>66</v>
      </c>
      <c r="J7" s="38">
        <v>100.0</v>
      </c>
      <c r="K7" s="37" t="s">
        <v>44</v>
      </c>
      <c r="L7" s="37" t="s">
        <v>44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>
      <c r="A8" s="54" t="str">
        <f t="shared" ref="A8:A34" si="1">IF(B8="","",ROW()-4)</f>
        <v/>
      </c>
      <c r="B8" s="56"/>
      <c r="C8" s="56"/>
      <c r="D8" s="58"/>
      <c r="E8" s="56"/>
      <c r="F8" s="56"/>
      <c r="G8" s="58"/>
      <c r="H8" s="56"/>
      <c r="I8" s="56"/>
      <c r="J8" s="58"/>
      <c r="K8" s="56"/>
      <c r="L8" s="56"/>
    </row>
    <row r="9">
      <c r="A9" s="54" t="str">
        <f t="shared" si="1"/>
        <v/>
      </c>
      <c r="B9" s="56"/>
      <c r="C9" s="56"/>
      <c r="D9" s="58"/>
      <c r="E9" s="56"/>
      <c r="F9" s="56"/>
      <c r="G9" s="58"/>
      <c r="H9" s="56"/>
      <c r="I9" s="56"/>
      <c r="J9" s="58"/>
      <c r="K9" s="56"/>
      <c r="L9" s="56"/>
    </row>
    <row r="10">
      <c r="A10" s="54" t="str">
        <f t="shared" si="1"/>
        <v/>
      </c>
      <c r="B10" s="56"/>
      <c r="C10" s="56"/>
      <c r="D10" s="58"/>
      <c r="E10" s="56"/>
      <c r="F10" s="56"/>
      <c r="G10" s="58"/>
      <c r="H10" s="56"/>
      <c r="I10" s="56"/>
      <c r="J10" s="58"/>
      <c r="K10" s="56"/>
      <c r="L10" s="56"/>
    </row>
    <row r="11">
      <c r="A11" s="54" t="str">
        <f t="shared" si="1"/>
        <v/>
      </c>
      <c r="B11" s="56"/>
      <c r="C11" s="56"/>
      <c r="D11" s="58"/>
      <c r="E11" s="56"/>
      <c r="F11" s="56"/>
      <c r="G11" s="58"/>
      <c r="H11" s="56"/>
      <c r="I11" s="56"/>
      <c r="J11" s="58"/>
      <c r="K11" s="56"/>
      <c r="L11" s="56"/>
    </row>
    <row r="12">
      <c r="A12" s="54" t="str">
        <f t="shared" si="1"/>
        <v/>
      </c>
      <c r="B12" s="56"/>
      <c r="C12" s="56"/>
      <c r="D12" s="58"/>
      <c r="E12" s="56"/>
      <c r="F12" s="56"/>
      <c r="G12" s="58"/>
      <c r="H12" s="56"/>
      <c r="I12" s="56"/>
      <c r="J12" s="58"/>
      <c r="K12" s="56"/>
      <c r="L12" s="56"/>
    </row>
    <row r="13">
      <c r="A13" s="54" t="str">
        <f t="shared" si="1"/>
        <v/>
      </c>
      <c r="B13" s="56"/>
      <c r="C13" s="56"/>
      <c r="D13" s="58"/>
      <c r="E13" s="56"/>
      <c r="F13" s="56"/>
      <c r="G13" s="58"/>
      <c r="H13" s="56"/>
      <c r="I13" s="56"/>
      <c r="J13" s="58"/>
      <c r="K13" s="56"/>
      <c r="L13" s="56"/>
    </row>
    <row r="14">
      <c r="A14" s="54" t="str">
        <f t="shared" si="1"/>
        <v/>
      </c>
      <c r="B14" s="56"/>
      <c r="C14" s="56"/>
      <c r="D14" s="58"/>
      <c r="E14" s="56"/>
      <c r="F14" s="56"/>
      <c r="G14" s="58"/>
      <c r="H14" s="56"/>
      <c r="I14" s="56"/>
      <c r="J14" s="58"/>
      <c r="K14" s="56"/>
      <c r="L14" s="56"/>
    </row>
    <row r="15">
      <c r="A15" s="54" t="str">
        <f t="shared" si="1"/>
        <v/>
      </c>
      <c r="B15" s="56"/>
      <c r="C15" s="56"/>
      <c r="D15" s="58"/>
      <c r="E15" s="56"/>
      <c r="F15" s="56"/>
      <c r="G15" s="58"/>
      <c r="H15" s="56"/>
      <c r="I15" s="56"/>
      <c r="J15" s="58"/>
      <c r="K15" s="56"/>
      <c r="L15" s="56"/>
    </row>
    <row r="16">
      <c r="A16" s="54" t="str">
        <f t="shared" si="1"/>
        <v/>
      </c>
      <c r="B16" s="56"/>
      <c r="C16" s="56"/>
      <c r="D16" s="58"/>
      <c r="E16" s="56"/>
      <c r="F16" s="56"/>
      <c r="G16" s="58"/>
      <c r="H16" s="56"/>
      <c r="I16" s="56"/>
      <c r="J16" s="58"/>
      <c r="K16" s="56"/>
      <c r="L16" s="56"/>
    </row>
    <row r="17">
      <c r="A17" s="54" t="str">
        <f t="shared" si="1"/>
        <v/>
      </c>
      <c r="B17" s="56"/>
      <c r="C17" s="56"/>
      <c r="D17" s="58"/>
      <c r="E17" s="56"/>
      <c r="F17" s="56"/>
      <c r="G17" s="58"/>
      <c r="H17" s="56"/>
      <c r="I17" s="56"/>
      <c r="J17" s="58"/>
      <c r="K17" s="56"/>
      <c r="L17" s="56"/>
    </row>
    <row r="18">
      <c r="A18" s="54" t="str">
        <f t="shared" si="1"/>
        <v/>
      </c>
      <c r="B18" s="56"/>
      <c r="C18" s="56"/>
      <c r="D18" s="58"/>
      <c r="E18" s="56"/>
      <c r="F18" s="56"/>
      <c r="G18" s="58"/>
      <c r="H18" s="56"/>
      <c r="I18" s="56"/>
      <c r="J18" s="58"/>
      <c r="K18" s="56"/>
      <c r="L18" s="56"/>
    </row>
    <row r="19">
      <c r="A19" s="54" t="str">
        <f t="shared" si="1"/>
        <v/>
      </c>
      <c r="B19" s="56"/>
      <c r="C19" s="56"/>
      <c r="D19" s="58"/>
      <c r="E19" s="56"/>
      <c r="F19" s="56"/>
      <c r="G19" s="58"/>
      <c r="H19" s="56"/>
      <c r="I19" s="56"/>
      <c r="J19" s="58"/>
      <c r="K19" s="56"/>
      <c r="L19" s="56"/>
    </row>
    <row r="20">
      <c r="A20" s="54" t="str">
        <f t="shared" si="1"/>
        <v/>
      </c>
      <c r="B20" s="56"/>
      <c r="C20" s="56"/>
      <c r="D20" s="58"/>
      <c r="E20" s="56"/>
      <c r="F20" s="56"/>
      <c r="G20" s="58"/>
      <c r="H20" s="56"/>
      <c r="I20" s="56"/>
      <c r="J20" s="58"/>
      <c r="K20" s="56"/>
      <c r="L20" s="56"/>
    </row>
    <row r="21" ht="15.75" customHeight="1">
      <c r="A21" s="54" t="str">
        <f t="shared" si="1"/>
        <v/>
      </c>
      <c r="B21" s="56"/>
      <c r="C21" s="56"/>
      <c r="D21" s="58"/>
      <c r="E21" s="56"/>
      <c r="F21" s="56"/>
      <c r="G21" s="58"/>
      <c r="H21" s="56"/>
      <c r="I21" s="56"/>
      <c r="J21" s="58"/>
      <c r="K21" s="56"/>
      <c r="L21" s="56"/>
    </row>
    <row r="22" ht="15.75" customHeight="1">
      <c r="A22" s="75" t="str">
        <f t="shared" si="1"/>
        <v/>
      </c>
      <c r="B22" s="77"/>
      <c r="C22" s="77"/>
      <c r="D22" s="78"/>
      <c r="E22" s="77"/>
      <c r="F22" s="77"/>
      <c r="G22" s="78"/>
      <c r="H22" s="77"/>
      <c r="I22" s="77"/>
      <c r="J22" s="78"/>
      <c r="K22" s="77"/>
      <c r="L22" s="79"/>
    </row>
    <row r="23" ht="15.75" customHeight="1">
      <c r="A23" s="75" t="str">
        <f t="shared" si="1"/>
        <v/>
      </c>
      <c r="B23" s="77"/>
      <c r="C23" s="77"/>
      <c r="D23" s="78"/>
      <c r="E23" s="77"/>
      <c r="F23" s="77"/>
      <c r="G23" s="78"/>
      <c r="H23" s="77"/>
      <c r="I23" s="77"/>
      <c r="J23" s="78"/>
      <c r="K23" s="77"/>
      <c r="L23" s="79"/>
    </row>
    <row r="24" ht="15.75" customHeight="1">
      <c r="A24" s="75" t="str">
        <f t="shared" si="1"/>
        <v/>
      </c>
      <c r="B24" s="77"/>
      <c r="C24" s="77"/>
      <c r="D24" s="78"/>
      <c r="E24" s="77"/>
      <c r="F24" s="77"/>
      <c r="G24" s="78"/>
      <c r="H24" s="77"/>
      <c r="I24" s="77"/>
      <c r="J24" s="78"/>
      <c r="K24" s="77"/>
      <c r="L24" s="79"/>
    </row>
    <row r="25" ht="15.75" customHeight="1">
      <c r="A25" s="75" t="str">
        <f t="shared" si="1"/>
        <v/>
      </c>
      <c r="B25" s="77"/>
      <c r="C25" s="77"/>
      <c r="D25" s="78"/>
      <c r="E25" s="77"/>
      <c r="F25" s="77"/>
      <c r="G25" s="78"/>
      <c r="H25" s="77"/>
      <c r="I25" s="77"/>
      <c r="J25" s="78"/>
      <c r="K25" s="77"/>
      <c r="L25" s="79"/>
    </row>
    <row r="26" ht="15.75" customHeight="1">
      <c r="A26" s="75" t="str">
        <f t="shared" si="1"/>
        <v/>
      </c>
      <c r="B26" s="77"/>
      <c r="C26" s="77"/>
      <c r="D26" s="78"/>
      <c r="E26" s="77"/>
      <c r="F26" s="77"/>
      <c r="G26" s="78"/>
      <c r="H26" s="77"/>
      <c r="I26" s="77"/>
      <c r="J26" s="78"/>
      <c r="K26" s="77"/>
      <c r="L26" s="79"/>
    </row>
    <row r="27" ht="15.75" customHeight="1">
      <c r="A27" s="75" t="str">
        <f t="shared" si="1"/>
        <v/>
      </c>
      <c r="B27" s="77"/>
      <c r="C27" s="77"/>
      <c r="D27" s="78"/>
      <c r="E27" s="77"/>
      <c r="F27" s="77"/>
      <c r="G27" s="78"/>
      <c r="H27" s="77"/>
      <c r="I27" s="77"/>
      <c r="J27" s="78"/>
      <c r="K27" s="77"/>
      <c r="L27" s="79"/>
    </row>
    <row r="28" ht="15.75" customHeight="1">
      <c r="A28" s="75" t="str">
        <f t="shared" si="1"/>
        <v/>
      </c>
      <c r="B28" s="77"/>
      <c r="C28" s="77"/>
      <c r="D28" s="78"/>
      <c r="E28" s="77"/>
      <c r="F28" s="77"/>
      <c r="G28" s="78"/>
      <c r="H28" s="77"/>
      <c r="I28" s="77"/>
      <c r="J28" s="78"/>
      <c r="K28" s="77"/>
      <c r="L28" s="79"/>
    </row>
    <row r="29" ht="15.75" customHeight="1">
      <c r="A29" s="75" t="str">
        <f t="shared" si="1"/>
        <v/>
      </c>
      <c r="B29" s="77"/>
      <c r="C29" s="77"/>
      <c r="D29" s="78"/>
      <c r="E29" s="77"/>
      <c r="F29" s="77"/>
      <c r="G29" s="78"/>
      <c r="H29" s="77"/>
      <c r="I29" s="77"/>
      <c r="J29" s="78"/>
      <c r="K29" s="77"/>
      <c r="L29" s="79"/>
    </row>
    <row r="30" ht="15.75" customHeight="1">
      <c r="A30" s="75" t="str">
        <f t="shared" si="1"/>
        <v/>
      </c>
      <c r="B30" s="77"/>
      <c r="C30" s="77"/>
      <c r="D30" s="78"/>
      <c r="E30" s="77"/>
      <c r="F30" s="77"/>
      <c r="G30" s="78"/>
      <c r="H30" s="77"/>
      <c r="I30" s="77"/>
      <c r="J30" s="78"/>
      <c r="K30" s="77"/>
      <c r="L30" s="79"/>
    </row>
    <row r="31" ht="15.75" customHeight="1">
      <c r="A31" s="75" t="str">
        <f t="shared" si="1"/>
        <v/>
      </c>
      <c r="B31" s="77"/>
      <c r="C31" s="77"/>
      <c r="D31" s="78"/>
      <c r="E31" s="77"/>
      <c r="F31" s="77"/>
      <c r="G31" s="78"/>
      <c r="H31" s="77"/>
      <c r="I31" s="77"/>
      <c r="J31" s="78"/>
      <c r="K31" s="77"/>
      <c r="L31" s="79"/>
    </row>
    <row r="32" ht="15.75" customHeight="1">
      <c r="A32" s="75" t="str">
        <f t="shared" si="1"/>
        <v/>
      </c>
      <c r="B32" s="77"/>
      <c r="C32" s="77"/>
      <c r="D32" s="78"/>
      <c r="E32" s="77"/>
      <c r="F32" s="77"/>
      <c r="G32" s="78"/>
      <c r="H32" s="77"/>
      <c r="I32" s="77"/>
      <c r="J32" s="78"/>
      <c r="K32" s="77"/>
      <c r="L32" s="79"/>
    </row>
    <row r="33" ht="15.75" customHeight="1">
      <c r="A33" s="75" t="str">
        <f t="shared" si="1"/>
        <v/>
      </c>
      <c r="B33" s="77"/>
      <c r="C33" s="77"/>
      <c r="D33" s="78"/>
      <c r="E33" s="77"/>
      <c r="F33" s="77"/>
      <c r="G33" s="78"/>
      <c r="H33" s="77"/>
      <c r="I33" s="77"/>
      <c r="J33" s="78"/>
      <c r="K33" s="77"/>
      <c r="L33" s="79"/>
    </row>
    <row r="34" ht="15.75" customHeight="1">
      <c r="A34" s="90" t="str">
        <f t="shared" si="1"/>
        <v/>
      </c>
      <c r="B34" s="92"/>
      <c r="C34" s="92"/>
      <c r="D34" s="94"/>
      <c r="E34" s="92"/>
      <c r="F34" s="92"/>
      <c r="G34" s="94"/>
      <c r="H34" s="92"/>
      <c r="I34" s="92"/>
      <c r="J34" s="94"/>
      <c r="K34" s="92"/>
      <c r="L34" s="97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:D2"/>
    <mergeCell ref="E2:H2"/>
    <mergeCell ref="I2:J2"/>
    <mergeCell ref="K2:L2"/>
    <mergeCell ref="B3:D3"/>
    <mergeCell ref="E3:H3"/>
    <mergeCell ref="I3:J3"/>
    <mergeCell ref="K3:L3"/>
  </mergeCells>
  <conditionalFormatting sqref="K5:L34">
    <cfRule type="expression" dxfId="0" priority="1">
      <formula>K5="Yes"</formula>
    </cfRule>
  </conditionalFormatting>
  <dataValidations>
    <dataValidation type="list" allowBlank="1" sqref="K5:L34">
      <formula1>"Yes,No,NA"</formula1>
    </dataValidation>
  </dataValidations>
  <printOptions/>
  <pageMargins bottom="0.75" footer="0.0" header="0.0" left="0.7" right="0.7" top="0.7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18.0"/>
    <col customWidth="1" min="3" max="3" width="27.0"/>
    <col customWidth="1" min="4" max="4" width="18.0"/>
    <col customWidth="1" min="5" max="8" width="14.0"/>
    <col customWidth="1" min="9" max="26" width="8.86"/>
  </cols>
  <sheetData>
    <row r="1" ht="36.75" customHeight="1">
      <c r="A1" s="9" t="s">
        <v>2</v>
      </c>
      <c r="B1" s="7"/>
      <c r="C1" s="7"/>
      <c r="D1" s="7"/>
      <c r="E1" s="7"/>
      <c r="F1" s="7"/>
      <c r="G1" s="7"/>
      <c r="H1" s="7"/>
    </row>
    <row r="2" ht="29.25" customHeight="1">
      <c r="A2" s="13" t="s">
        <v>5</v>
      </c>
      <c r="B2" s="7"/>
      <c r="C2" s="7"/>
      <c r="D2" s="7"/>
      <c r="E2" s="7"/>
      <c r="F2" s="7"/>
      <c r="G2" s="7"/>
      <c r="H2" s="7"/>
    </row>
    <row r="3">
      <c r="A3" s="18"/>
      <c r="B3" s="18"/>
      <c r="C3" s="18"/>
      <c r="D3" s="18"/>
      <c r="E3" s="18"/>
      <c r="F3" s="18"/>
      <c r="G3" s="18"/>
      <c r="H3" s="18"/>
    </row>
    <row r="4">
      <c r="A4" s="20" t="s">
        <v>10</v>
      </c>
      <c r="B4" s="22"/>
      <c r="C4" s="23"/>
      <c r="D4" s="23"/>
      <c r="E4" s="23"/>
      <c r="F4" s="23"/>
      <c r="G4" s="23"/>
      <c r="H4" s="23"/>
    </row>
    <row r="5">
      <c r="A5" s="26" t="s">
        <v>1</v>
      </c>
      <c r="B5" s="30" t="s">
        <v>7</v>
      </c>
      <c r="C5" s="8"/>
      <c r="D5" s="8"/>
      <c r="E5" s="8"/>
      <c r="F5" s="8"/>
      <c r="G5" s="8"/>
      <c r="H5" s="11"/>
    </row>
    <row r="6">
      <c r="A6" s="26" t="s">
        <v>0</v>
      </c>
      <c r="B6" s="30" t="s">
        <v>27</v>
      </c>
      <c r="C6" s="8"/>
      <c r="D6" s="8"/>
      <c r="E6" s="8"/>
      <c r="F6" s="8"/>
      <c r="G6" s="8"/>
      <c r="H6" s="11"/>
    </row>
    <row r="7">
      <c r="A7" s="34" t="s">
        <v>25</v>
      </c>
      <c r="B7" s="30" t="s">
        <v>26</v>
      </c>
      <c r="C7" s="8"/>
      <c r="D7" s="8"/>
      <c r="E7" s="8"/>
      <c r="F7" s="8"/>
      <c r="G7" s="8"/>
      <c r="H7" s="11"/>
    </row>
    <row r="8">
      <c r="A8" s="26" t="s">
        <v>4</v>
      </c>
      <c r="B8" s="30" t="s">
        <v>6</v>
      </c>
      <c r="C8" s="8"/>
      <c r="D8" s="8"/>
      <c r="E8" s="8"/>
      <c r="F8" s="8"/>
      <c r="G8" s="8"/>
      <c r="H8" s="11"/>
    </row>
    <row r="9">
      <c r="A9" s="26" t="s">
        <v>49</v>
      </c>
      <c r="B9" s="42">
        <v>9.971240406E9</v>
      </c>
      <c r="C9" s="8"/>
      <c r="D9" s="8"/>
      <c r="E9" s="8"/>
      <c r="F9" s="8"/>
      <c r="G9" s="8"/>
      <c r="H9" s="11"/>
    </row>
    <row r="10">
      <c r="A10" s="26" t="s">
        <v>9</v>
      </c>
      <c r="B10" s="48">
        <v>46276.0</v>
      </c>
      <c r="C10" s="8"/>
      <c r="D10" s="8"/>
      <c r="E10" s="8"/>
      <c r="F10" s="8"/>
      <c r="G10" s="8"/>
      <c r="H10" s="11"/>
    </row>
    <row r="11">
      <c r="A11" s="18"/>
      <c r="B11" s="18"/>
      <c r="C11" s="18"/>
      <c r="D11" s="18"/>
      <c r="E11" s="18"/>
      <c r="F11" s="18"/>
      <c r="G11" s="18"/>
      <c r="H11" s="18"/>
    </row>
    <row r="12">
      <c r="A12" s="53" t="s">
        <v>80</v>
      </c>
      <c r="B12" s="7"/>
      <c r="C12" s="7"/>
      <c r="D12" s="7"/>
      <c r="E12" s="7"/>
      <c r="F12" s="7"/>
      <c r="G12" s="7"/>
      <c r="H12" s="7"/>
    </row>
    <row r="13" ht="36.75" customHeight="1">
      <c r="A13" s="60" t="s">
        <v>86</v>
      </c>
    </row>
    <row r="14" ht="36.75" customHeight="1">
      <c r="A14" s="60" t="s">
        <v>90</v>
      </c>
    </row>
    <row r="15" ht="36.75" customHeight="1">
      <c r="A15" s="60" t="s">
        <v>92</v>
      </c>
    </row>
    <row r="16" ht="36.75" customHeight="1">
      <c r="A16" s="60" t="s">
        <v>94</v>
      </c>
    </row>
    <row r="17" ht="36.75" customHeight="1">
      <c r="A17" s="60" t="s">
        <v>96</v>
      </c>
    </row>
    <row r="18" ht="36.75" customHeight="1">
      <c r="A18" s="60" t="s">
        <v>100</v>
      </c>
    </row>
    <row r="19">
      <c r="A19" s="18"/>
      <c r="B19" s="18"/>
      <c r="C19" s="18"/>
      <c r="D19" s="18"/>
      <c r="E19" s="18"/>
      <c r="F19" s="18"/>
      <c r="G19" s="18"/>
      <c r="H19" s="18"/>
    </row>
    <row r="20">
      <c r="A20" s="53" t="s">
        <v>101</v>
      </c>
      <c r="B20" s="7"/>
      <c r="C20" s="7"/>
      <c r="D20" s="7"/>
      <c r="E20" s="7"/>
      <c r="F20" s="7"/>
      <c r="G20" s="7"/>
      <c r="H20" s="7"/>
    </row>
    <row r="21" ht="15.75" customHeight="1">
      <c r="A21" s="70" t="s">
        <v>105</v>
      </c>
      <c r="B21" s="70" t="s">
        <v>108</v>
      </c>
      <c r="C21" s="70" t="s">
        <v>105</v>
      </c>
      <c r="D21" s="70" t="s">
        <v>108</v>
      </c>
      <c r="E21" s="18"/>
      <c r="F21" s="18"/>
      <c r="G21" s="18"/>
      <c r="H21" s="18"/>
    </row>
    <row r="22" ht="15.75" customHeight="1">
      <c r="A22" s="18" t="s">
        <v>111</v>
      </c>
      <c r="B22" s="81">
        <f>COUNTA('Program details'!B5:B34)</f>
        <v>1</v>
      </c>
      <c r="C22" s="18" t="s">
        <v>118</v>
      </c>
      <c r="D22" s="81">
        <f>COUNTA('Faculty Details'!B6:B56)</f>
        <v>2</v>
      </c>
      <c r="E22" s="18"/>
      <c r="F22" s="18"/>
      <c r="G22" s="18"/>
      <c r="H22" s="18"/>
    </row>
    <row r="23" ht="15.75" customHeight="1">
      <c r="A23" s="18" t="s">
        <v>119</v>
      </c>
      <c r="B23" s="87">
        <f>SUM('Program details'!M5:M34)</f>
        <v>5</v>
      </c>
      <c r="C23" s="18" t="s">
        <v>121</v>
      </c>
      <c r="D23" s="81">
        <f>COUNTIF('Faculty Details'!F6:F56,"Yes")</f>
        <v>2</v>
      </c>
      <c r="E23" s="18"/>
      <c r="F23" s="18"/>
      <c r="G23" s="18"/>
      <c r="H23" s="18"/>
    </row>
    <row r="24" ht="15.75" customHeight="1">
      <c r="A24" s="18" t="s">
        <v>122</v>
      </c>
      <c r="B24" s="87">
        <f>SUM('Program details'!P5:P34)</f>
        <v>1</v>
      </c>
      <c r="C24" s="18" t="s">
        <v>123</v>
      </c>
      <c r="D24" s="81">
        <f>COUNTA('Infrastructure Utilization'!B5:B34)</f>
        <v>3</v>
      </c>
      <c r="E24" s="18"/>
      <c r="F24" s="18"/>
      <c r="G24" s="18"/>
      <c r="H24" s="18"/>
    </row>
    <row r="25" ht="15.75" customHeight="1">
      <c r="A25" s="18" t="s">
        <v>124</v>
      </c>
      <c r="B25" s="81">
        <f>COUNTIF('Program details'!S5:S34,"Yes")</f>
        <v>0</v>
      </c>
      <c r="C25" s="18" t="s">
        <v>125</v>
      </c>
      <c r="D25" s="81">
        <f>COUNTIF('Infrastructure Utilization'!K5:K34,"Yes")</f>
        <v>0</v>
      </c>
      <c r="E25" s="18"/>
      <c r="F25" s="18"/>
      <c r="G25" s="18"/>
      <c r="H25" s="18"/>
    </row>
    <row r="26" ht="15.75" customHeight="1">
      <c r="A26" s="18"/>
      <c r="B26" s="18"/>
      <c r="C26" s="18" t="s">
        <v>126</v>
      </c>
      <c r="D26" s="81">
        <f>COUNTIF('Infrastructure Utilization'!L6:L35,"Yes")</f>
        <v>0</v>
      </c>
      <c r="E26" s="18"/>
      <c r="F26" s="18"/>
      <c r="G26" s="18"/>
      <c r="H26" s="18"/>
    </row>
    <row r="27" ht="15.75" customHeight="1">
      <c r="A27" s="53" t="s">
        <v>127</v>
      </c>
      <c r="B27" s="7"/>
      <c r="C27" s="7"/>
      <c r="D27" s="7"/>
      <c r="E27" s="7"/>
      <c r="F27" s="7"/>
      <c r="G27" s="7"/>
      <c r="H27" s="7"/>
    </row>
    <row r="28" ht="31.5" customHeight="1">
      <c r="A28" s="95" t="s">
        <v>129</v>
      </c>
      <c r="B28" s="23"/>
      <c r="C28" s="23"/>
      <c r="D28" s="23"/>
      <c r="E28" s="23"/>
      <c r="F28" s="23"/>
      <c r="G28" s="23"/>
      <c r="H28" s="23"/>
    </row>
    <row r="29" ht="31.5" customHeight="1">
      <c r="A29" s="98"/>
    </row>
    <row r="30" ht="31.5" customHeight="1">
      <c r="A30" s="98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1:H1"/>
    <mergeCell ref="A2:H2"/>
    <mergeCell ref="B4:H4"/>
    <mergeCell ref="B5:H5"/>
    <mergeCell ref="B6:H6"/>
    <mergeCell ref="B7:H7"/>
    <mergeCell ref="B8:H8"/>
    <mergeCell ref="A17:H17"/>
    <mergeCell ref="A18:H18"/>
    <mergeCell ref="A20:H20"/>
    <mergeCell ref="A27:H27"/>
    <mergeCell ref="A28:H30"/>
    <mergeCell ref="B9:H9"/>
    <mergeCell ref="B10:H10"/>
    <mergeCell ref="A12:H12"/>
    <mergeCell ref="A13:H13"/>
    <mergeCell ref="A14:H14"/>
    <mergeCell ref="A15:H15"/>
    <mergeCell ref="A16:H16"/>
  </mergeCells>
  <printOptions/>
  <pageMargins bottom="0.75" footer="0.0" header="0.0" left="0.7" right="0.7" top="0.7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71"/>
  </cols>
  <sheetData>
    <row r="1">
      <c r="A1" s="124" t="s">
        <v>165</v>
      </c>
    </row>
    <row r="2">
      <c r="A2" s="125" t="s">
        <v>0</v>
      </c>
      <c r="B2" s="126" t="s">
        <v>3</v>
      </c>
      <c r="G2" s="125" t="s">
        <v>4</v>
      </c>
      <c r="H2" s="126" t="s">
        <v>166</v>
      </c>
      <c r="M2" s="127" t="s">
        <v>167</v>
      </c>
      <c r="N2" s="128" t="s">
        <v>168</v>
      </c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</row>
    <row r="3">
      <c r="A3" s="130" t="s">
        <v>169</v>
      </c>
    </row>
    <row r="4">
      <c r="A4" s="129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</row>
    <row r="5">
      <c r="A5" s="131" t="s">
        <v>170</v>
      </c>
      <c r="B5" s="132">
        <v>0.0</v>
      </c>
      <c r="C5" s="129"/>
      <c r="D5" s="131" t="s">
        <v>171</v>
      </c>
      <c r="E5" s="132">
        <v>0.0</v>
      </c>
      <c r="F5" s="129"/>
      <c r="G5" s="131" t="s">
        <v>172</v>
      </c>
      <c r="H5" s="132">
        <v>0.0</v>
      </c>
      <c r="I5" s="129"/>
      <c r="J5" s="131" t="s">
        <v>173</v>
      </c>
      <c r="K5" s="132">
        <v>0.0</v>
      </c>
      <c r="L5" s="129"/>
      <c r="M5" s="131" t="s">
        <v>174</v>
      </c>
      <c r="N5" s="132">
        <v>0.0</v>
      </c>
      <c r="O5" s="129"/>
      <c r="P5" s="131" t="s">
        <v>175</v>
      </c>
      <c r="Q5" s="132">
        <v>0.0</v>
      </c>
      <c r="R5" s="129"/>
      <c r="S5" s="131" t="s">
        <v>176</v>
      </c>
      <c r="T5" s="133">
        <v>0.0</v>
      </c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</row>
    <row r="6">
      <c r="A6" s="129"/>
      <c r="B6" s="129"/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</row>
    <row r="7">
      <c r="A7" s="129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</row>
    <row r="8">
      <c r="A8" s="135" t="s">
        <v>177</v>
      </c>
      <c r="F8" s="135" t="s">
        <v>178</v>
      </c>
      <c r="K8" s="137" t="s">
        <v>179</v>
      </c>
      <c r="R8" s="138" t="s">
        <v>180</v>
      </c>
      <c r="V8" s="139" t="s">
        <v>181</v>
      </c>
      <c r="AB8" s="140" t="s">
        <v>182</v>
      </c>
      <c r="AF8" s="140" t="s">
        <v>183</v>
      </c>
      <c r="AJ8" s="141" t="s">
        <v>184</v>
      </c>
      <c r="AK8" s="142" t="s">
        <v>185</v>
      </c>
    </row>
    <row r="9">
      <c r="A9" s="143" t="s">
        <v>186</v>
      </c>
      <c r="B9" s="144" t="s">
        <v>1</v>
      </c>
      <c r="C9" s="144" t="s">
        <v>31</v>
      </c>
      <c r="D9" s="144" t="s">
        <v>187</v>
      </c>
      <c r="E9" s="144" t="s">
        <v>36</v>
      </c>
      <c r="F9" s="144" t="s">
        <v>188</v>
      </c>
      <c r="G9" s="144" t="s">
        <v>189</v>
      </c>
      <c r="H9" s="144" t="s">
        <v>190</v>
      </c>
      <c r="I9" s="144" t="s">
        <v>191</v>
      </c>
      <c r="J9" s="144" t="s">
        <v>192</v>
      </c>
      <c r="K9" s="144" t="s">
        <v>193</v>
      </c>
      <c r="L9" s="144" t="s">
        <v>194</v>
      </c>
      <c r="M9" s="144" t="s">
        <v>174</v>
      </c>
      <c r="N9" s="144" t="s">
        <v>195</v>
      </c>
      <c r="O9" s="144" t="s">
        <v>196</v>
      </c>
      <c r="P9" s="144" t="s">
        <v>197</v>
      </c>
      <c r="Q9" s="144" t="s">
        <v>198</v>
      </c>
      <c r="R9" s="144" t="s">
        <v>199</v>
      </c>
      <c r="S9" s="144" t="s">
        <v>200</v>
      </c>
      <c r="T9" s="144" t="s">
        <v>201</v>
      </c>
      <c r="U9" s="144" t="s">
        <v>202</v>
      </c>
      <c r="V9" s="144" t="s">
        <v>203</v>
      </c>
      <c r="W9" s="144" t="s">
        <v>204</v>
      </c>
      <c r="X9" s="144" t="s">
        <v>205</v>
      </c>
      <c r="Y9" s="144" t="s">
        <v>206</v>
      </c>
      <c r="Z9" s="144" t="s">
        <v>207</v>
      </c>
      <c r="AA9" s="144" t="s">
        <v>208</v>
      </c>
      <c r="AB9" s="144" t="s">
        <v>209</v>
      </c>
      <c r="AC9" s="144" t="s">
        <v>210</v>
      </c>
      <c r="AD9" s="144" t="s">
        <v>211</v>
      </c>
      <c r="AE9" s="144" t="s">
        <v>212</v>
      </c>
      <c r="AF9" s="144" t="s">
        <v>213</v>
      </c>
      <c r="AG9" s="144" t="s">
        <v>214</v>
      </c>
      <c r="AH9" s="144" t="s">
        <v>215</v>
      </c>
      <c r="AI9" s="144" t="s">
        <v>216</v>
      </c>
      <c r="AJ9" s="144" t="s">
        <v>217</v>
      </c>
      <c r="AK9" s="144" t="s">
        <v>218</v>
      </c>
      <c r="AL9" s="144" t="s">
        <v>219</v>
      </c>
      <c r="AM9" s="145" t="s">
        <v>220</v>
      </c>
    </row>
    <row r="10" ht="113.25" customHeight="1">
      <c r="A10" s="146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8"/>
    </row>
    <row r="11">
      <c r="A11" s="149">
        <v>1.0</v>
      </c>
      <c r="B11" s="150" t="s">
        <v>6</v>
      </c>
      <c r="C11" s="150" t="s">
        <v>221</v>
      </c>
      <c r="D11" s="150" t="s">
        <v>222</v>
      </c>
      <c r="E11" s="151">
        <v>43953.0</v>
      </c>
      <c r="F11" s="152">
        <v>5.0</v>
      </c>
      <c r="G11" s="152">
        <v>2.0</v>
      </c>
      <c r="H11" s="153">
        <v>2.0</v>
      </c>
      <c r="I11" s="152" t="s">
        <v>88</v>
      </c>
      <c r="J11" s="152" t="s">
        <v>88</v>
      </c>
      <c r="K11" s="152">
        <v>2.0</v>
      </c>
      <c r="L11" s="152" t="s">
        <v>223</v>
      </c>
      <c r="M11" s="150">
        <v>20.0</v>
      </c>
      <c r="N11" s="150" t="s">
        <v>224</v>
      </c>
      <c r="O11" s="154"/>
      <c r="P11" s="150" t="s">
        <v>225</v>
      </c>
      <c r="Q11" s="154"/>
      <c r="R11" s="152">
        <v>1.0</v>
      </c>
      <c r="S11" s="152" t="s">
        <v>88</v>
      </c>
      <c r="T11" s="152" t="s">
        <v>88</v>
      </c>
      <c r="U11" s="152" t="s">
        <v>88</v>
      </c>
      <c r="V11" s="152">
        <v>1.0</v>
      </c>
      <c r="W11" s="152" t="s">
        <v>88</v>
      </c>
      <c r="X11" s="152">
        <v>4.0</v>
      </c>
      <c r="Y11" s="150" t="s">
        <v>226</v>
      </c>
      <c r="Z11" s="154"/>
      <c r="AA11" s="155" t="s">
        <v>227</v>
      </c>
      <c r="AB11" s="153">
        <v>2.0</v>
      </c>
      <c r="AC11" s="153">
        <v>1.0</v>
      </c>
      <c r="AD11" s="153">
        <v>1.0</v>
      </c>
      <c r="AE11" s="153">
        <v>1.0</v>
      </c>
      <c r="AF11" s="152" t="s">
        <v>88</v>
      </c>
      <c r="AG11" s="152" t="s">
        <v>88</v>
      </c>
      <c r="AH11" s="152" t="s">
        <v>88</v>
      </c>
      <c r="AI11" s="152" t="s">
        <v>88</v>
      </c>
      <c r="AJ11" s="150" t="s">
        <v>228</v>
      </c>
      <c r="AK11" s="150" t="s">
        <v>229</v>
      </c>
      <c r="AL11" s="154"/>
      <c r="AM11" s="156" t="s">
        <v>230</v>
      </c>
    </row>
    <row r="12">
      <c r="A12" s="157">
        <v>2.0</v>
      </c>
      <c r="B12" s="158" t="s">
        <v>140</v>
      </c>
      <c r="C12" s="158" t="s">
        <v>221</v>
      </c>
      <c r="D12" s="159" t="s">
        <v>222</v>
      </c>
      <c r="E12" s="159" t="s">
        <v>231</v>
      </c>
      <c r="F12" s="159">
        <v>6.0</v>
      </c>
      <c r="G12" s="159" t="s">
        <v>88</v>
      </c>
      <c r="H12" s="160">
        <v>3.0</v>
      </c>
      <c r="I12" s="159" t="s">
        <v>88</v>
      </c>
      <c r="J12" s="159" t="s">
        <v>88</v>
      </c>
      <c r="K12" s="159">
        <v>1.0</v>
      </c>
      <c r="L12" s="159" t="s">
        <v>223</v>
      </c>
      <c r="M12" s="158" t="s">
        <v>232</v>
      </c>
      <c r="N12" s="158" t="s">
        <v>233</v>
      </c>
      <c r="O12" s="159" t="s">
        <v>234</v>
      </c>
      <c r="P12" s="159" t="s">
        <v>235</v>
      </c>
      <c r="Q12" s="159" t="s">
        <v>88</v>
      </c>
      <c r="R12" s="159">
        <v>1.0</v>
      </c>
      <c r="S12" s="159" t="s">
        <v>88</v>
      </c>
      <c r="T12" s="159" t="s">
        <v>88</v>
      </c>
      <c r="U12" s="159" t="s">
        <v>88</v>
      </c>
      <c r="V12" s="159" t="s">
        <v>88</v>
      </c>
      <c r="W12" s="159" t="s">
        <v>88</v>
      </c>
      <c r="X12" s="159">
        <v>8.0</v>
      </c>
      <c r="Y12" s="155" t="s">
        <v>236</v>
      </c>
      <c r="Z12" s="155" t="s">
        <v>237</v>
      </c>
      <c r="AA12" s="161" t="s">
        <v>238</v>
      </c>
      <c r="AB12" s="162">
        <v>1.0</v>
      </c>
      <c r="AC12" s="162">
        <v>1.0</v>
      </c>
      <c r="AD12" s="162">
        <v>2.0</v>
      </c>
      <c r="AE12" s="162">
        <v>2.0</v>
      </c>
      <c r="AF12" s="159" t="s">
        <v>88</v>
      </c>
      <c r="AG12" s="159" t="s">
        <v>88</v>
      </c>
      <c r="AH12" s="159" t="s">
        <v>88</v>
      </c>
      <c r="AI12" s="159" t="s">
        <v>88</v>
      </c>
      <c r="AJ12" s="158" t="s">
        <v>228</v>
      </c>
      <c r="AK12" s="163"/>
      <c r="AL12" s="159" t="s">
        <v>239</v>
      </c>
      <c r="AM12" s="164" t="s">
        <v>230</v>
      </c>
    </row>
    <row r="13">
      <c r="A13" s="165"/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7"/>
    </row>
    <row r="14">
      <c r="A14" s="165"/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8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7"/>
    </row>
    <row r="15">
      <c r="A15" s="165"/>
      <c r="B15" s="166"/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7"/>
    </row>
    <row r="16">
      <c r="A16" s="165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7"/>
    </row>
    <row r="17">
      <c r="A17" s="165"/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7"/>
    </row>
    <row r="18">
      <c r="A18" s="165"/>
      <c r="B18" s="166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7"/>
    </row>
    <row r="19">
      <c r="A19" s="165"/>
      <c r="B19" s="166"/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  <c r="AH19" s="166"/>
      <c r="AI19" s="166"/>
      <c r="AJ19" s="166"/>
      <c r="AK19" s="166"/>
      <c r="AL19" s="166"/>
      <c r="AM19" s="167"/>
    </row>
    <row r="20">
      <c r="A20" s="165"/>
      <c r="B20" s="166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  <c r="AH20" s="166"/>
      <c r="AI20" s="166"/>
      <c r="AJ20" s="166"/>
      <c r="AK20" s="166"/>
      <c r="AL20" s="166"/>
      <c r="AM20" s="167"/>
    </row>
    <row r="21">
      <c r="A21" s="165"/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  <c r="AH21" s="166"/>
      <c r="AI21" s="166"/>
      <c r="AJ21" s="166"/>
      <c r="AK21" s="166"/>
      <c r="AL21" s="166"/>
      <c r="AM21" s="167"/>
    </row>
    <row r="22">
      <c r="A22" s="165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  <c r="AI22" s="166"/>
      <c r="AJ22" s="166"/>
      <c r="AK22" s="166"/>
      <c r="AL22" s="166"/>
      <c r="AM22" s="167"/>
    </row>
    <row r="23">
      <c r="A23" s="165"/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66"/>
      <c r="U23" s="166"/>
      <c r="V23" s="166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  <c r="AI23" s="166"/>
      <c r="AJ23" s="166"/>
      <c r="AK23" s="166"/>
      <c r="AL23" s="166"/>
      <c r="AM23" s="167"/>
    </row>
    <row r="24">
      <c r="A24" s="165"/>
      <c r="B24" s="166"/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  <c r="AI24" s="166"/>
      <c r="AJ24" s="166"/>
      <c r="AK24" s="166"/>
      <c r="AL24" s="166"/>
      <c r="AM24" s="167"/>
    </row>
    <row r="25">
      <c r="A25" s="165"/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7"/>
    </row>
    <row r="26">
      <c r="A26" s="165"/>
      <c r="B26" s="166"/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  <c r="AI26" s="166"/>
      <c r="AJ26" s="166"/>
      <c r="AK26" s="166"/>
      <c r="AL26" s="166"/>
      <c r="AM26" s="167"/>
    </row>
    <row r="27">
      <c r="A27" s="165"/>
      <c r="B27" s="166"/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  <c r="AH27" s="166"/>
      <c r="AI27" s="166"/>
      <c r="AJ27" s="166"/>
      <c r="AK27" s="166"/>
      <c r="AL27" s="166"/>
      <c r="AM27" s="167"/>
    </row>
    <row r="28">
      <c r="A28" s="165"/>
      <c r="B28" s="166"/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  <c r="AI28" s="166"/>
      <c r="AJ28" s="166"/>
      <c r="AK28" s="166"/>
      <c r="AL28" s="166"/>
      <c r="AM28" s="167"/>
    </row>
    <row r="29">
      <c r="A29" s="165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  <c r="AH29" s="166"/>
      <c r="AI29" s="166"/>
      <c r="AJ29" s="166"/>
      <c r="AK29" s="166"/>
      <c r="AL29" s="166"/>
      <c r="AM29" s="167"/>
    </row>
    <row r="30">
      <c r="A30" s="165"/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  <c r="AH30" s="166"/>
      <c r="AI30" s="166"/>
      <c r="AJ30" s="166"/>
      <c r="AK30" s="166"/>
      <c r="AL30" s="166"/>
      <c r="AM30" s="167"/>
    </row>
    <row r="31">
      <c r="A31" s="165"/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  <c r="AI31" s="166"/>
      <c r="AJ31" s="166"/>
      <c r="AK31" s="166"/>
      <c r="AL31" s="166"/>
      <c r="AM31" s="167"/>
    </row>
    <row r="32">
      <c r="A32" s="165"/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166"/>
      <c r="T32" s="16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  <c r="AH32" s="166"/>
      <c r="AI32" s="166"/>
      <c r="AJ32" s="166"/>
      <c r="AK32" s="166"/>
      <c r="AL32" s="166"/>
      <c r="AM32" s="167"/>
    </row>
    <row r="33">
      <c r="A33" s="165"/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  <c r="AH33" s="166"/>
      <c r="AI33" s="166"/>
      <c r="AJ33" s="166"/>
      <c r="AK33" s="166"/>
      <c r="AL33" s="166"/>
      <c r="AM33" s="167"/>
    </row>
    <row r="34">
      <c r="A34" s="165"/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  <c r="AJ34" s="166"/>
      <c r="AK34" s="166"/>
      <c r="AL34" s="166"/>
      <c r="AM34" s="167"/>
    </row>
    <row r="35">
      <c r="A35" s="165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  <c r="AH35" s="166"/>
      <c r="AI35" s="166"/>
      <c r="AJ35" s="166"/>
      <c r="AK35" s="166"/>
      <c r="AL35" s="166"/>
      <c r="AM35" s="167"/>
    </row>
    <row r="36">
      <c r="A36" s="165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  <c r="AH36" s="166"/>
      <c r="AI36" s="166"/>
      <c r="AJ36" s="166"/>
      <c r="AK36" s="166"/>
      <c r="AL36" s="166"/>
      <c r="AM36" s="167"/>
    </row>
    <row r="37">
      <c r="A37" s="165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  <c r="AI37" s="166"/>
      <c r="AJ37" s="166"/>
      <c r="AK37" s="166"/>
      <c r="AL37" s="166"/>
      <c r="AM37" s="167"/>
    </row>
    <row r="38">
      <c r="A38" s="165"/>
      <c r="B38" s="166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  <c r="AH38" s="166"/>
      <c r="AI38" s="166"/>
      <c r="AJ38" s="166"/>
      <c r="AK38" s="166"/>
      <c r="AL38" s="166"/>
      <c r="AM38" s="167"/>
    </row>
    <row r="39">
      <c r="A39" s="165"/>
      <c r="B39" s="166"/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  <c r="AH39" s="166"/>
      <c r="AI39" s="166"/>
      <c r="AJ39" s="166"/>
      <c r="AK39" s="166"/>
      <c r="AL39" s="166"/>
      <c r="AM39" s="167"/>
    </row>
    <row r="40">
      <c r="A40" s="165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  <c r="AI40" s="166"/>
      <c r="AJ40" s="166"/>
      <c r="AK40" s="166"/>
      <c r="AL40" s="166"/>
      <c r="AM40" s="167"/>
    </row>
    <row r="41">
      <c r="A41" s="165"/>
      <c r="B41" s="166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  <c r="AH41" s="166"/>
      <c r="AI41" s="166"/>
      <c r="AJ41" s="166"/>
      <c r="AK41" s="166"/>
      <c r="AL41" s="166"/>
      <c r="AM41" s="167"/>
    </row>
    <row r="42">
      <c r="A42" s="165"/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  <c r="AH42" s="166"/>
      <c r="AI42" s="166"/>
      <c r="AJ42" s="166"/>
      <c r="AK42" s="166"/>
      <c r="AL42" s="166"/>
      <c r="AM42" s="167"/>
    </row>
    <row r="43">
      <c r="A43" s="165"/>
      <c r="B43" s="166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  <c r="AI43" s="166"/>
      <c r="AJ43" s="166"/>
      <c r="AK43" s="166"/>
      <c r="AL43" s="166"/>
      <c r="AM43" s="167"/>
    </row>
    <row r="44">
      <c r="A44" s="165"/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  <c r="AH44" s="166"/>
      <c r="AI44" s="166"/>
      <c r="AJ44" s="166"/>
      <c r="AK44" s="166"/>
      <c r="AL44" s="166"/>
      <c r="AM44" s="167"/>
    </row>
    <row r="45">
      <c r="A45" s="165"/>
      <c r="B45" s="166"/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  <c r="AH45" s="166"/>
      <c r="AI45" s="166"/>
      <c r="AJ45" s="166"/>
      <c r="AK45" s="166"/>
      <c r="AL45" s="166"/>
      <c r="AM45" s="167"/>
    </row>
    <row r="46">
      <c r="A46" s="165"/>
      <c r="B46" s="166"/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  <c r="AI46" s="166"/>
      <c r="AJ46" s="166"/>
      <c r="AK46" s="166"/>
      <c r="AL46" s="166"/>
      <c r="AM46" s="167"/>
    </row>
    <row r="47">
      <c r="A47" s="165"/>
      <c r="B47" s="166"/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  <c r="AH47" s="166"/>
      <c r="AI47" s="166"/>
      <c r="AJ47" s="166"/>
      <c r="AK47" s="166"/>
      <c r="AL47" s="166"/>
      <c r="AM47" s="167"/>
    </row>
    <row r="48">
      <c r="A48" s="165"/>
      <c r="B48" s="166"/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  <c r="AH48" s="166"/>
      <c r="AI48" s="166"/>
      <c r="AJ48" s="166"/>
      <c r="AK48" s="166"/>
      <c r="AL48" s="166"/>
      <c r="AM48" s="167"/>
    </row>
    <row r="49">
      <c r="A49" s="165"/>
      <c r="B49" s="166"/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  <c r="AI49" s="166"/>
      <c r="AJ49" s="166"/>
      <c r="AK49" s="166"/>
      <c r="AL49" s="166"/>
      <c r="AM49" s="167"/>
    </row>
    <row r="50">
      <c r="A50" s="165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66"/>
      <c r="AJ50" s="166"/>
      <c r="AK50" s="166"/>
      <c r="AL50" s="166"/>
      <c r="AM50" s="167"/>
    </row>
    <row r="51">
      <c r="A51" s="165"/>
      <c r="B51" s="166"/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  <c r="AI51" s="166"/>
      <c r="AJ51" s="166"/>
      <c r="AK51" s="166"/>
      <c r="AL51" s="166"/>
      <c r="AM51" s="167"/>
    </row>
    <row r="52">
      <c r="A52" s="165"/>
      <c r="B52" s="166"/>
      <c r="C52" s="166"/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  <c r="AI52" s="166"/>
      <c r="AJ52" s="166"/>
      <c r="AK52" s="166"/>
      <c r="AL52" s="166"/>
      <c r="AM52" s="167"/>
    </row>
    <row r="53">
      <c r="A53" s="165"/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  <c r="AK53" s="166"/>
      <c r="AL53" s="166"/>
      <c r="AM53" s="167"/>
    </row>
    <row r="54">
      <c r="A54" s="165"/>
      <c r="B54" s="166"/>
      <c r="C54" s="166"/>
      <c r="D54" s="166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  <c r="AH54" s="166"/>
      <c r="AI54" s="166"/>
      <c r="AJ54" s="166"/>
      <c r="AK54" s="166"/>
      <c r="AL54" s="166"/>
      <c r="AM54" s="167"/>
    </row>
    <row r="5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7"/>
    </row>
    <row r="56">
      <c r="A56" s="165"/>
      <c r="B56" s="166"/>
      <c r="C56" s="166"/>
      <c r="D56" s="166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  <c r="AI56" s="166"/>
      <c r="AJ56" s="166"/>
      <c r="AK56" s="166"/>
      <c r="AL56" s="166"/>
      <c r="AM56" s="167"/>
    </row>
    <row r="57">
      <c r="A57" s="165"/>
      <c r="B57" s="166"/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  <c r="AI57" s="166"/>
      <c r="AJ57" s="166"/>
      <c r="AK57" s="166"/>
      <c r="AL57" s="166"/>
      <c r="AM57" s="167"/>
    </row>
    <row r="58">
      <c r="A58" s="165"/>
      <c r="B58" s="166"/>
      <c r="C58" s="166"/>
      <c r="D58" s="166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  <c r="AI58" s="166"/>
      <c r="AJ58" s="166"/>
      <c r="AK58" s="166"/>
      <c r="AL58" s="166"/>
      <c r="AM58" s="167"/>
    </row>
    <row r="59">
      <c r="A59" s="165"/>
      <c r="B59" s="166"/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  <c r="AI59" s="166"/>
      <c r="AJ59" s="166"/>
      <c r="AK59" s="166"/>
      <c r="AL59" s="166"/>
      <c r="AM59" s="167"/>
    </row>
    <row r="60">
      <c r="A60" s="169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70"/>
      <c r="AK60" s="170"/>
      <c r="AL60" s="170"/>
      <c r="AM60" s="171"/>
    </row>
    <row r="61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</row>
    <row r="62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</row>
    <row r="63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</row>
    <row r="64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</row>
    <row r="65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</row>
    <row r="66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</row>
    <row r="67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</row>
    <row r="68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</row>
    <row r="75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</row>
    <row r="76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</row>
    <row r="77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</row>
    <row r="78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</row>
    <row r="79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</row>
    <row r="80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</row>
    <row r="8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</row>
    <row r="82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</row>
    <row r="83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</row>
    <row r="84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</row>
    <row r="85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</row>
    <row r="86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</row>
    <row r="87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</row>
    <row r="88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</row>
    <row r="89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</row>
    <row r="90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</row>
    <row r="9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</row>
    <row r="92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</row>
    <row r="93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</row>
    <row r="94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</row>
    <row r="95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</row>
    <row r="96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</row>
    <row r="97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</row>
    <row r="98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</row>
    <row r="99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</row>
    <row r="100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</row>
    <row r="10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</row>
    <row r="102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</row>
    <row r="103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</row>
    <row r="104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</row>
    <row r="105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</row>
    <row r="106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</row>
    <row r="107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</row>
    <row r="108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</row>
    <row r="109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</row>
    <row r="110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</row>
    <row r="11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</row>
    <row r="118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</row>
    <row r="119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</row>
    <row r="120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</row>
    <row r="12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</row>
    <row r="122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</row>
    <row r="123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</row>
    <row r="124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</row>
    <row r="125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</row>
    <row r="126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</row>
    <row r="127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</row>
    <row r="128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</row>
    <row r="129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</row>
    <row r="130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</row>
    <row r="13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</row>
    <row r="132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</row>
    <row r="133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</row>
    <row r="134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</row>
    <row r="135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</row>
    <row r="136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</row>
    <row r="137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</row>
    <row r="138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</row>
    <row r="139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</row>
    <row r="140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</row>
    <row r="14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</row>
    <row r="142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</row>
    <row r="143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</row>
    <row r="144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</row>
    <row r="145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</row>
    <row r="146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</row>
    <row r="147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</row>
    <row r="148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</row>
    <row r="149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</row>
    <row r="150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</row>
    <row r="15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</row>
    <row r="152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</row>
    <row r="153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</row>
    <row r="154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</row>
    <row r="16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</row>
    <row r="162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</row>
    <row r="163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</row>
    <row r="164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</row>
    <row r="165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</row>
    <row r="166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</row>
    <row r="167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</row>
    <row r="168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</row>
    <row r="169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</row>
    <row r="170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</row>
    <row r="17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</row>
    <row r="172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</row>
    <row r="173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</row>
    <row r="174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</row>
    <row r="175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</row>
    <row r="176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</row>
    <row r="177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</row>
    <row r="178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</row>
    <row r="179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</row>
    <row r="180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</row>
    <row r="18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</row>
    <row r="182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</row>
    <row r="183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</row>
    <row r="184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</row>
    <row r="185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</row>
    <row r="186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</row>
    <row r="187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</row>
    <row r="188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</row>
    <row r="189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</row>
    <row r="190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</row>
    <row r="19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</row>
    <row r="192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</row>
    <row r="193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</row>
    <row r="194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</row>
    <row r="195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</row>
    <row r="196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</row>
    <row r="197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</row>
    <row r="204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</row>
    <row r="205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</row>
    <row r="206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</row>
    <row r="207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</row>
    <row r="208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</row>
    <row r="209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</row>
    <row r="210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</row>
    <row r="21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</row>
    <row r="212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</row>
    <row r="213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</row>
    <row r="21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</row>
    <row r="215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</row>
    <row r="216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</row>
    <row r="217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</row>
    <row r="218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</row>
    <row r="219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</row>
    <row r="220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</row>
    <row r="22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</row>
    <row r="222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</row>
    <row r="223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</row>
    <row r="22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</row>
    <row r="225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</row>
    <row r="226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</row>
    <row r="227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</row>
    <row r="228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</row>
    <row r="229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</row>
    <row r="230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</row>
    <row r="23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</row>
    <row r="232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</row>
    <row r="233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</row>
    <row r="23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</row>
    <row r="235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</row>
    <row r="236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</row>
    <row r="237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</row>
    <row r="238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</row>
    <row r="239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</row>
    <row r="240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  <c r="AM246" s="129"/>
    </row>
    <row r="247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</row>
    <row r="248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</row>
    <row r="249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</row>
    <row r="250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</row>
    <row r="25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</row>
    <row r="252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  <c r="AM252" s="129"/>
    </row>
    <row r="253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  <c r="AM253" s="129"/>
    </row>
    <row r="25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</row>
    <row r="255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</row>
    <row r="256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  <c r="AM256" s="129"/>
    </row>
    <row r="257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</row>
    <row r="258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  <c r="AM258" s="129"/>
    </row>
    <row r="259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</row>
    <row r="260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</row>
    <row r="26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  <c r="AM261" s="129"/>
    </row>
    <row r="262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  <c r="AM262" s="129"/>
    </row>
    <row r="263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  <c r="AM263" s="129"/>
    </row>
    <row r="26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</row>
    <row r="265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</row>
    <row r="266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</row>
    <row r="267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</row>
    <row r="268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</row>
    <row r="269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  <c r="AM269" s="129"/>
    </row>
    <row r="270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  <c r="AM270" s="129"/>
    </row>
    <row r="27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</row>
    <row r="272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  <c r="AM272" s="129"/>
    </row>
    <row r="273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</row>
    <row r="27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</row>
    <row r="275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</row>
    <row r="276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</row>
    <row r="277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</row>
    <row r="278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  <c r="AH278" s="129"/>
      <c r="AI278" s="129"/>
      <c r="AJ278" s="129"/>
      <c r="AK278" s="129"/>
      <c r="AL278" s="129"/>
      <c r="AM278" s="129"/>
    </row>
    <row r="279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  <c r="AH279" s="129"/>
      <c r="AI279" s="129"/>
      <c r="AJ279" s="129"/>
      <c r="AK279" s="129"/>
      <c r="AL279" s="129"/>
      <c r="AM279" s="129"/>
    </row>
    <row r="280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  <c r="AH280" s="129"/>
      <c r="AI280" s="129"/>
      <c r="AJ280" s="129"/>
      <c r="AK280" s="129"/>
      <c r="AL280" s="129"/>
      <c r="AM280" s="129"/>
    </row>
    <row r="28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  <c r="AH281" s="129"/>
      <c r="AI281" s="129"/>
      <c r="AJ281" s="129"/>
      <c r="AK281" s="129"/>
      <c r="AL281" s="129"/>
      <c r="AM281" s="129"/>
    </row>
    <row r="282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</row>
    <row r="283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</row>
    <row r="290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</row>
    <row r="29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</row>
    <row r="292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</row>
    <row r="293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</row>
    <row r="29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</row>
    <row r="295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</row>
    <row r="296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</row>
    <row r="297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</row>
    <row r="298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  <c r="AH298" s="129"/>
      <c r="AI298" s="129"/>
      <c r="AJ298" s="129"/>
      <c r="AK298" s="129"/>
      <c r="AL298" s="129"/>
      <c r="AM298" s="129"/>
    </row>
    <row r="299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  <c r="AH299" s="129"/>
      <c r="AI299" s="129"/>
      <c r="AJ299" s="129"/>
      <c r="AK299" s="129"/>
      <c r="AL299" s="129"/>
      <c r="AM299" s="129"/>
    </row>
    <row r="300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</row>
    <row r="30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</row>
    <row r="302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</row>
    <row r="303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</row>
    <row r="30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</row>
    <row r="305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</row>
    <row r="306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</row>
    <row r="307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</row>
    <row r="308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</row>
    <row r="309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</row>
    <row r="310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</row>
    <row r="31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</row>
    <row r="312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</row>
    <row r="313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</row>
    <row r="31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  <c r="AH314" s="129"/>
      <c r="AI314" s="129"/>
      <c r="AJ314" s="129"/>
      <c r="AK314" s="129"/>
      <c r="AL314" s="129"/>
      <c r="AM314" s="129"/>
    </row>
    <row r="315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  <c r="AH315" s="129"/>
      <c r="AI315" s="129"/>
      <c r="AJ315" s="129"/>
      <c r="AK315" s="129"/>
      <c r="AL315" s="129"/>
      <c r="AM315" s="129"/>
    </row>
    <row r="316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</row>
    <row r="317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</row>
    <row r="318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</row>
    <row r="319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</row>
    <row r="320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  <c r="AH320" s="129"/>
      <c r="AI320" s="129"/>
      <c r="AJ320" s="129"/>
      <c r="AK320" s="129"/>
      <c r="AL320" s="129"/>
      <c r="AM320" s="129"/>
    </row>
    <row r="32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</row>
    <row r="322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  <c r="AH322" s="129"/>
      <c r="AI322" s="129"/>
      <c r="AJ322" s="129"/>
      <c r="AK322" s="129"/>
      <c r="AL322" s="129"/>
      <c r="AM322" s="129"/>
    </row>
    <row r="323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  <c r="AH323" s="129"/>
      <c r="AI323" s="129"/>
      <c r="AJ323" s="129"/>
      <c r="AK323" s="129"/>
      <c r="AL323" s="129"/>
      <c r="AM323" s="129"/>
    </row>
    <row r="32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  <c r="AH324" s="129"/>
      <c r="AI324" s="129"/>
      <c r="AJ324" s="129"/>
      <c r="AK324" s="129"/>
      <c r="AL324" s="129"/>
      <c r="AM324" s="129"/>
    </row>
    <row r="325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</row>
    <row r="326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</row>
    <row r="333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</row>
    <row r="33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</row>
    <row r="335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</row>
    <row r="336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</row>
    <row r="337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</row>
    <row r="338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</row>
    <row r="339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</row>
    <row r="340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</row>
    <row r="34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</row>
    <row r="342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</row>
    <row r="343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</row>
    <row r="34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</row>
    <row r="345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</row>
    <row r="346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</row>
    <row r="347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</row>
    <row r="348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</row>
    <row r="349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</row>
    <row r="350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</row>
    <row r="35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</row>
    <row r="352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</row>
    <row r="353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</row>
    <row r="35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  <c r="AH354" s="129"/>
      <c r="AI354" s="129"/>
      <c r="AJ354" s="129"/>
      <c r="AK354" s="129"/>
      <c r="AL354" s="129"/>
      <c r="AM354" s="129"/>
    </row>
    <row r="355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  <c r="AH355" s="129"/>
      <c r="AI355" s="129"/>
      <c r="AJ355" s="129"/>
      <c r="AK355" s="129"/>
      <c r="AL355" s="129"/>
      <c r="AM355" s="129"/>
    </row>
    <row r="356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</row>
    <row r="357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</row>
    <row r="358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</row>
    <row r="359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</row>
    <row r="360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</row>
    <row r="36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</row>
    <row r="362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</row>
    <row r="363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</row>
    <row r="36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</row>
    <row r="365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</row>
    <row r="366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</row>
    <row r="367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</row>
    <row r="368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</row>
    <row r="369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</row>
    <row r="370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</row>
    <row r="37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</row>
    <row r="372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</row>
    <row r="373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</row>
    <row r="37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</row>
    <row r="375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</row>
    <row r="376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</row>
    <row r="377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</row>
    <row r="378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</row>
    <row r="379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</row>
    <row r="380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</row>
    <row r="38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</row>
    <row r="382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</row>
    <row r="383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</row>
    <row r="38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</row>
    <row r="385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</row>
    <row r="386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</row>
    <row r="387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</row>
    <row r="388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</row>
    <row r="389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</row>
    <row r="390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</row>
    <row r="39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</row>
    <row r="392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</row>
    <row r="393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</row>
    <row r="39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</row>
    <row r="395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</row>
    <row r="396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</row>
    <row r="397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</row>
    <row r="398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</row>
    <row r="399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</row>
    <row r="400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</row>
    <row r="40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</row>
    <row r="402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</row>
    <row r="403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</row>
    <row r="40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</row>
    <row r="405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</row>
    <row r="406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</row>
    <row r="407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  <c r="AH407" s="129"/>
      <c r="AI407" s="129"/>
      <c r="AJ407" s="129"/>
      <c r="AK407" s="129"/>
      <c r="AL407" s="129"/>
      <c r="AM407" s="129"/>
    </row>
    <row r="408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  <c r="AH408" s="129"/>
      <c r="AI408" s="129"/>
      <c r="AJ408" s="129"/>
      <c r="AK408" s="129"/>
      <c r="AL408" s="129"/>
      <c r="AM408" s="129"/>
    </row>
    <row r="409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</row>
    <row r="410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</row>
    <row r="41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</row>
    <row r="412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</row>
    <row r="413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</row>
    <row r="41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</row>
    <row r="415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</row>
    <row r="416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</row>
    <row r="417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</row>
    <row r="418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</row>
    <row r="419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</row>
    <row r="420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</row>
    <row r="42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</row>
    <row r="422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</row>
    <row r="423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</row>
    <row r="42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</row>
    <row r="425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</row>
    <row r="426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</row>
    <row r="427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</row>
    <row r="428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</row>
    <row r="429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</row>
    <row r="430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</row>
    <row r="43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</row>
    <row r="432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</row>
    <row r="433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</row>
    <row r="43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</row>
    <row r="435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</row>
    <row r="436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</row>
    <row r="437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</row>
    <row r="438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</row>
    <row r="439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</row>
    <row r="440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</row>
    <row r="44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</row>
    <row r="442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</row>
    <row r="443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</row>
    <row r="44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</row>
    <row r="445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</row>
    <row r="446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</row>
    <row r="447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</row>
    <row r="448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</row>
    <row r="449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</row>
    <row r="450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  <c r="AH450" s="129"/>
      <c r="AI450" s="129"/>
      <c r="AJ450" s="129"/>
      <c r="AK450" s="129"/>
      <c r="AL450" s="129"/>
      <c r="AM450" s="129"/>
    </row>
    <row r="45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  <c r="AH451" s="129"/>
      <c r="AI451" s="129"/>
      <c r="AJ451" s="129"/>
      <c r="AK451" s="129"/>
      <c r="AL451" s="129"/>
      <c r="AM451" s="129"/>
    </row>
    <row r="452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</row>
    <row r="453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</row>
    <row r="45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</row>
    <row r="455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</row>
    <row r="456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</row>
    <row r="457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</row>
    <row r="458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</row>
    <row r="459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</row>
    <row r="460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</row>
    <row r="46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</row>
    <row r="462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</row>
    <row r="463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</row>
    <row r="46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</row>
    <row r="465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</row>
    <row r="466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</row>
    <row r="467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</row>
    <row r="468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</row>
    <row r="469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</row>
    <row r="470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</row>
    <row r="47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</row>
    <row r="472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</row>
    <row r="473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</row>
    <row r="47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</row>
    <row r="475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</row>
    <row r="476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</row>
    <row r="477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</row>
    <row r="478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</row>
    <row r="479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</row>
    <row r="480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</row>
    <row r="48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</row>
    <row r="482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</row>
    <row r="483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</row>
    <row r="48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</row>
    <row r="485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</row>
    <row r="486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</row>
    <row r="487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</row>
    <row r="488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  <c r="AH488" s="129"/>
      <c r="AI488" s="129"/>
      <c r="AJ488" s="129"/>
      <c r="AK488" s="129"/>
      <c r="AL488" s="129"/>
      <c r="AM488" s="129"/>
    </row>
    <row r="489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  <c r="AH489" s="129"/>
      <c r="AI489" s="129"/>
      <c r="AJ489" s="129"/>
      <c r="AK489" s="129"/>
      <c r="AL489" s="129"/>
      <c r="AM489" s="129"/>
    </row>
    <row r="490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</row>
    <row r="49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</row>
    <row r="492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</row>
    <row r="493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</row>
    <row r="49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</row>
    <row r="495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</row>
    <row r="496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</row>
    <row r="497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</row>
    <row r="498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</row>
    <row r="499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</row>
    <row r="500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</row>
    <row r="50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</row>
    <row r="502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</row>
    <row r="503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</row>
    <row r="50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</row>
    <row r="505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</row>
    <row r="506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</row>
    <row r="507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</row>
    <row r="508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</row>
    <row r="509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</row>
    <row r="510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</row>
    <row r="51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</row>
    <row r="512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</row>
    <row r="513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</row>
    <row r="51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</row>
    <row r="515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</row>
    <row r="516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</row>
    <row r="517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</row>
    <row r="518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</row>
    <row r="519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</row>
    <row r="520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</row>
    <row r="52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</row>
    <row r="522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  <c r="AH522" s="129"/>
      <c r="AI522" s="129"/>
      <c r="AJ522" s="129"/>
      <c r="AK522" s="129"/>
      <c r="AL522" s="129"/>
      <c r="AM522" s="129"/>
    </row>
    <row r="523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  <c r="AH523" s="129"/>
      <c r="AI523" s="129"/>
      <c r="AJ523" s="129"/>
      <c r="AK523" s="129"/>
      <c r="AL523" s="129"/>
      <c r="AM523" s="129"/>
    </row>
    <row r="52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</row>
    <row r="525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</row>
    <row r="526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</row>
    <row r="527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</row>
    <row r="528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</row>
    <row r="529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</row>
    <row r="530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</row>
    <row r="53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</row>
    <row r="532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</row>
    <row r="533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</row>
    <row r="53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</row>
    <row r="535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</row>
    <row r="536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</row>
    <row r="537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</row>
    <row r="538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</row>
    <row r="539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</row>
    <row r="540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</row>
    <row r="54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</row>
    <row r="542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</row>
    <row r="543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</row>
    <row r="54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</row>
    <row r="545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</row>
    <row r="546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</row>
    <row r="547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</row>
    <row r="548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</row>
    <row r="549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</row>
    <row r="550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</row>
    <row r="55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</row>
    <row r="552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</row>
    <row r="553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</row>
    <row r="55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</row>
    <row r="555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</row>
    <row r="556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</row>
    <row r="557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</row>
    <row r="558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</row>
    <row r="559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</row>
    <row r="560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</row>
    <row r="56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</row>
    <row r="562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</row>
    <row r="563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  <c r="AH563" s="129"/>
      <c r="AI563" s="129"/>
      <c r="AJ563" s="129"/>
      <c r="AK563" s="129"/>
      <c r="AL563" s="129"/>
      <c r="AM563" s="129"/>
    </row>
    <row r="56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  <c r="AH564" s="129"/>
      <c r="AI564" s="129"/>
      <c r="AJ564" s="129"/>
      <c r="AK564" s="129"/>
      <c r="AL564" s="129"/>
      <c r="AM564" s="129"/>
    </row>
    <row r="565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</row>
    <row r="566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</row>
    <row r="567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</row>
    <row r="568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</row>
    <row r="569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</row>
    <row r="570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</row>
    <row r="57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</row>
    <row r="572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</row>
    <row r="573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</row>
    <row r="57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</row>
    <row r="575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</row>
    <row r="576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</row>
    <row r="577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  <c r="AH577" s="129"/>
      <c r="AI577" s="129"/>
      <c r="AJ577" s="129"/>
      <c r="AK577" s="129"/>
      <c r="AL577" s="129"/>
      <c r="AM577" s="129"/>
    </row>
    <row r="578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  <c r="AH578" s="129"/>
      <c r="AI578" s="129"/>
      <c r="AJ578" s="129"/>
      <c r="AK578" s="129"/>
      <c r="AL578" s="129"/>
      <c r="AM578" s="129"/>
    </row>
    <row r="579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</row>
    <row r="580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</row>
    <row r="58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</row>
    <row r="582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</row>
    <row r="583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  <c r="AH583" s="129"/>
      <c r="AI583" s="129"/>
      <c r="AJ583" s="129"/>
      <c r="AK583" s="129"/>
      <c r="AL583" s="129"/>
      <c r="AM583" s="129"/>
    </row>
    <row r="58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</row>
    <row r="585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  <c r="AH585" s="129"/>
      <c r="AI585" s="129"/>
      <c r="AJ585" s="129"/>
      <c r="AK585" s="129"/>
      <c r="AL585" s="129"/>
      <c r="AM585" s="129"/>
    </row>
    <row r="586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  <c r="AH586" s="129"/>
      <c r="AI586" s="129"/>
      <c r="AJ586" s="129"/>
      <c r="AK586" s="129"/>
      <c r="AL586" s="129"/>
      <c r="AM586" s="129"/>
    </row>
    <row r="587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  <c r="AH587" s="129"/>
      <c r="AI587" s="129"/>
      <c r="AJ587" s="129"/>
      <c r="AK587" s="129"/>
      <c r="AL587" s="129"/>
      <c r="AM587" s="129"/>
    </row>
    <row r="588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</row>
    <row r="589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</row>
    <row r="590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  <c r="AH590" s="129"/>
      <c r="AI590" s="129"/>
      <c r="AJ590" s="129"/>
      <c r="AK590" s="129"/>
      <c r="AL590" s="129"/>
      <c r="AM590" s="129"/>
    </row>
    <row r="59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</row>
    <row r="592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</row>
    <row r="593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</row>
    <row r="59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</row>
    <row r="595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</row>
    <row r="596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</row>
    <row r="597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</row>
    <row r="598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</row>
    <row r="599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</row>
    <row r="600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</row>
    <row r="60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</row>
    <row r="602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</row>
    <row r="603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</row>
    <row r="60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</row>
    <row r="605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</row>
    <row r="606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</row>
    <row r="607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</row>
    <row r="608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</row>
    <row r="609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</row>
    <row r="610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</row>
    <row r="61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</row>
    <row r="612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</row>
    <row r="613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  <c r="AH613" s="129"/>
      <c r="AI613" s="129"/>
      <c r="AJ613" s="129"/>
      <c r="AK613" s="129"/>
      <c r="AL613" s="129"/>
      <c r="AM613" s="129"/>
    </row>
    <row r="61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  <c r="AH614" s="129"/>
      <c r="AI614" s="129"/>
      <c r="AJ614" s="129"/>
      <c r="AK614" s="129"/>
      <c r="AL614" s="129"/>
      <c r="AM614" s="129"/>
    </row>
    <row r="615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</row>
    <row r="616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  <c r="AH616" s="129"/>
      <c r="AI616" s="129"/>
      <c r="AJ616" s="129"/>
      <c r="AK616" s="129"/>
      <c r="AL616" s="129"/>
      <c r="AM616" s="129"/>
    </row>
    <row r="617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</row>
    <row r="618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  <c r="AH618" s="129"/>
      <c r="AI618" s="129"/>
      <c r="AJ618" s="129"/>
      <c r="AK618" s="129"/>
      <c r="AL618" s="129"/>
      <c r="AM618" s="129"/>
    </row>
    <row r="619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</row>
    <row r="620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</row>
    <row r="62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  <c r="AH621" s="129"/>
      <c r="AI621" s="129"/>
      <c r="AJ621" s="129"/>
      <c r="AK621" s="129"/>
      <c r="AL621" s="129"/>
      <c r="AM621" s="129"/>
    </row>
    <row r="622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  <c r="AH622" s="129"/>
      <c r="AI622" s="129"/>
      <c r="AJ622" s="129"/>
      <c r="AK622" s="129"/>
      <c r="AL622" s="129"/>
      <c r="AM622" s="129"/>
    </row>
    <row r="623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</row>
    <row r="62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</row>
    <row r="625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</row>
    <row r="626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</row>
    <row r="627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</row>
    <row r="628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  <c r="AH628" s="129"/>
      <c r="AI628" s="129"/>
      <c r="AJ628" s="129"/>
      <c r="AK628" s="129"/>
      <c r="AL628" s="129"/>
      <c r="AM628" s="129"/>
    </row>
    <row r="629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  <c r="AH629" s="129"/>
      <c r="AI629" s="129"/>
      <c r="AJ629" s="129"/>
      <c r="AK629" s="129"/>
      <c r="AL629" s="129"/>
      <c r="AM629" s="129"/>
    </row>
    <row r="630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  <c r="AH630" s="129"/>
      <c r="AI630" s="129"/>
      <c r="AJ630" s="129"/>
      <c r="AK630" s="129"/>
      <c r="AL630" s="129"/>
      <c r="AM630" s="129"/>
    </row>
    <row r="63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  <c r="AH631" s="129"/>
      <c r="AI631" s="129"/>
      <c r="AJ631" s="129"/>
      <c r="AK631" s="129"/>
      <c r="AL631" s="129"/>
      <c r="AM631" s="129"/>
    </row>
    <row r="632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  <c r="AH632" s="129"/>
      <c r="AI632" s="129"/>
      <c r="AJ632" s="129"/>
      <c r="AK632" s="129"/>
      <c r="AL632" s="129"/>
      <c r="AM632" s="129"/>
    </row>
    <row r="633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  <c r="AH633" s="129"/>
      <c r="AI633" s="129"/>
      <c r="AJ633" s="129"/>
      <c r="AK633" s="129"/>
      <c r="AL633" s="129"/>
      <c r="AM633" s="129"/>
    </row>
    <row r="63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  <c r="AH634" s="129"/>
      <c r="AI634" s="129"/>
      <c r="AJ634" s="129"/>
      <c r="AK634" s="129"/>
      <c r="AL634" s="129"/>
      <c r="AM634" s="129"/>
    </row>
    <row r="635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  <c r="AH635" s="129"/>
      <c r="AI635" s="129"/>
      <c r="AJ635" s="129"/>
      <c r="AK635" s="129"/>
      <c r="AL635" s="129"/>
      <c r="AM635" s="129"/>
    </row>
    <row r="636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  <c r="AH636" s="129"/>
      <c r="AI636" s="129"/>
      <c r="AJ636" s="129"/>
      <c r="AK636" s="129"/>
      <c r="AL636" s="129"/>
      <c r="AM636" s="129"/>
    </row>
    <row r="637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  <c r="AH637" s="129"/>
      <c r="AI637" s="129"/>
      <c r="AJ637" s="129"/>
      <c r="AK637" s="129"/>
      <c r="AL637" s="129"/>
      <c r="AM637" s="129"/>
    </row>
    <row r="638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  <c r="AH638" s="129"/>
      <c r="AI638" s="129"/>
      <c r="AJ638" s="129"/>
      <c r="AK638" s="129"/>
      <c r="AL638" s="129"/>
      <c r="AM638" s="129"/>
    </row>
    <row r="639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  <c r="AH639" s="129"/>
      <c r="AI639" s="129"/>
      <c r="AJ639" s="129"/>
      <c r="AK639" s="129"/>
      <c r="AL639" s="129"/>
      <c r="AM639" s="129"/>
    </row>
    <row r="640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  <c r="AH640" s="129"/>
      <c r="AI640" s="129"/>
      <c r="AJ640" s="129"/>
      <c r="AK640" s="129"/>
      <c r="AL640" s="129"/>
      <c r="AM640" s="129"/>
    </row>
    <row r="64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  <c r="AH641" s="129"/>
      <c r="AI641" s="129"/>
      <c r="AJ641" s="129"/>
      <c r="AK641" s="129"/>
      <c r="AL641" s="129"/>
      <c r="AM641" s="129"/>
    </row>
    <row r="642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  <c r="AH642" s="129"/>
      <c r="AI642" s="129"/>
      <c r="AJ642" s="129"/>
      <c r="AK642" s="129"/>
      <c r="AL642" s="129"/>
      <c r="AM642" s="129"/>
    </row>
    <row r="643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  <c r="AH643" s="129"/>
      <c r="AI643" s="129"/>
      <c r="AJ643" s="129"/>
      <c r="AK643" s="129"/>
      <c r="AL643" s="129"/>
      <c r="AM643" s="129"/>
    </row>
    <row r="64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  <c r="AH644" s="129"/>
      <c r="AI644" s="129"/>
      <c r="AJ644" s="129"/>
      <c r="AK644" s="129"/>
      <c r="AL644" s="129"/>
      <c r="AM644" s="129"/>
    </row>
    <row r="645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  <c r="AH645" s="129"/>
      <c r="AI645" s="129"/>
      <c r="AJ645" s="129"/>
      <c r="AK645" s="129"/>
      <c r="AL645" s="129"/>
      <c r="AM645" s="129"/>
    </row>
    <row r="646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  <c r="AH646" s="129"/>
      <c r="AI646" s="129"/>
      <c r="AJ646" s="129"/>
      <c r="AK646" s="129"/>
      <c r="AL646" s="129"/>
      <c r="AM646" s="129"/>
    </row>
    <row r="647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  <c r="AH647" s="129"/>
      <c r="AI647" s="129"/>
      <c r="AJ647" s="129"/>
      <c r="AK647" s="129"/>
      <c r="AL647" s="129"/>
      <c r="AM647" s="129"/>
    </row>
    <row r="648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  <c r="AH648" s="129"/>
      <c r="AI648" s="129"/>
      <c r="AJ648" s="129"/>
      <c r="AK648" s="129"/>
      <c r="AL648" s="129"/>
      <c r="AM648" s="129"/>
    </row>
    <row r="649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  <c r="AH649" s="129"/>
      <c r="AI649" s="129"/>
      <c r="AJ649" s="129"/>
      <c r="AK649" s="129"/>
      <c r="AL649" s="129"/>
      <c r="AM649" s="129"/>
    </row>
    <row r="650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  <c r="AH650" s="129"/>
      <c r="AI650" s="129"/>
      <c r="AJ650" s="129"/>
      <c r="AK650" s="129"/>
      <c r="AL650" s="129"/>
      <c r="AM650" s="129"/>
    </row>
    <row r="65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  <c r="AH651" s="129"/>
      <c r="AI651" s="129"/>
      <c r="AJ651" s="129"/>
      <c r="AK651" s="129"/>
      <c r="AL651" s="129"/>
      <c r="AM651" s="129"/>
    </row>
    <row r="652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  <c r="AH652" s="129"/>
      <c r="AI652" s="129"/>
      <c r="AJ652" s="129"/>
      <c r="AK652" s="129"/>
      <c r="AL652" s="129"/>
      <c r="AM652" s="129"/>
    </row>
    <row r="653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  <c r="AH653" s="129"/>
      <c r="AI653" s="129"/>
      <c r="AJ653" s="129"/>
      <c r="AK653" s="129"/>
      <c r="AL653" s="129"/>
      <c r="AM653" s="129"/>
    </row>
    <row r="65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  <c r="AH654" s="129"/>
      <c r="AI654" s="129"/>
      <c r="AJ654" s="129"/>
      <c r="AK654" s="129"/>
      <c r="AL654" s="129"/>
      <c r="AM654" s="129"/>
    </row>
    <row r="655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  <c r="AH655" s="129"/>
      <c r="AI655" s="129"/>
      <c r="AJ655" s="129"/>
      <c r="AK655" s="129"/>
      <c r="AL655" s="129"/>
      <c r="AM655" s="129"/>
    </row>
    <row r="656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  <c r="AH656" s="129"/>
      <c r="AI656" s="129"/>
      <c r="AJ656" s="129"/>
      <c r="AK656" s="129"/>
      <c r="AL656" s="129"/>
      <c r="AM656" s="129"/>
    </row>
    <row r="657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  <c r="AH657" s="129"/>
      <c r="AI657" s="129"/>
      <c r="AJ657" s="129"/>
      <c r="AK657" s="129"/>
      <c r="AL657" s="129"/>
      <c r="AM657" s="129"/>
    </row>
    <row r="658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  <c r="AH658" s="129"/>
      <c r="AI658" s="129"/>
      <c r="AJ658" s="129"/>
      <c r="AK658" s="129"/>
      <c r="AL658" s="129"/>
      <c r="AM658" s="129"/>
    </row>
    <row r="659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  <c r="AH659" s="129"/>
      <c r="AI659" s="129"/>
      <c r="AJ659" s="129"/>
      <c r="AK659" s="129"/>
      <c r="AL659" s="129"/>
      <c r="AM659" s="129"/>
    </row>
    <row r="660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  <c r="AH660" s="129"/>
      <c r="AI660" s="129"/>
      <c r="AJ660" s="129"/>
      <c r="AK660" s="129"/>
      <c r="AL660" s="129"/>
      <c r="AM660" s="129"/>
    </row>
    <row r="66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  <c r="AH661" s="129"/>
      <c r="AI661" s="129"/>
      <c r="AJ661" s="129"/>
      <c r="AK661" s="129"/>
      <c r="AL661" s="129"/>
      <c r="AM661" s="129"/>
    </row>
    <row r="662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  <c r="AH662" s="129"/>
      <c r="AI662" s="129"/>
      <c r="AJ662" s="129"/>
      <c r="AK662" s="129"/>
      <c r="AL662" s="129"/>
      <c r="AM662" s="129"/>
    </row>
    <row r="663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</row>
    <row r="66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  <c r="AH664" s="129"/>
      <c r="AI664" s="129"/>
      <c r="AJ664" s="129"/>
      <c r="AK664" s="129"/>
      <c r="AL664" s="129"/>
      <c r="AM664" s="129"/>
    </row>
    <row r="665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  <c r="AH665" s="129"/>
      <c r="AI665" s="129"/>
      <c r="AJ665" s="129"/>
      <c r="AK665" s="129"/>
      <c r="AL665" s="129"/>
      <c r="AM665" s="129"/>
    </row>
    <row r="666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  <c r="AH666" s="129"/>
      <c r="AI666" s="129"/>
      <c r="AJ666" s="129"/>
      <c r="AK666" s="129"/>
      <c r="AL666" s="129"/>
      <c r="AM666" s="129"/>
    </row>
    <row r="667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  <c r="AH667" s="129"/>
      <c r="AI667" s="129"/>
      <c r="AJ667" s="129"/>
      <c r="AK667" s="129"/>
      <c r="AL667" s="129"/>
      <c r="AM667" s="129"/>
    </row>
    <row r="668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  <c r="AH668" s="129"/>
      <c r="AI668" s="129"/>
      <c r="AJ668" s="129"/>
      <c r="AK668" s="129"/>
      <c r="AL668" s="129"/>
      <c r="AM668" s="129"/>
    </row>
    <row r="669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  <c r="AH669" s="129"/>
      <c r="AI669" s="129"/>
      <c r="AJ669" s="129"/>
      <c r="AK669" s="129"/>
      <c r="AL669" s="129"/>
      <c r="AM669" s="129"/>
    </row>
    <row r="670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  <c r="AH670" s="129"/>
      <c r="AI670" s="129"/>
      <c r="AJ670" s="129"/>
      <c r="AK670" s="129"/>
      <c r="AL670" s="129"/>
      <c r="AM670" s="129"/>
    </row>
    <row r="67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  <c r="AH671" s="129"/>
      <c r="AI671" s="129"/>
      <c r="AJ671" s="129"/>
      <c r="AK671" s="129"/>
      <c r="AL671" s="129"/>
      <c r="AM671" s="129"/>
    </row>
    <row r="672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  <c r="AH672" s="129"/>
      <c r="AI672" s="129"/>
      <c r="AJ672" s="129"/>
      <c r="AK672" s="129"/>
      <c r="AL672" s="129"/>
      <c r="AM672" s="129"/>
    </row>
    <row r="673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  <c r="AH673" s="129"/>
      <c r="AI673" s="129"/>
      <c r="AJ673" s="129"/>
      <c r="AK673" s="129"/>
      <c r="AL673" s="129"/>
      <c r="AM673" s="129"/>
    </row>
    <row r="67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  <c r="AH674" s="129"/>
      <c r="AI674" s="129"/>
      <c r="AJ674" s="129"/>
      <c r="AK674" s="129"/>
      <c r="AL674" s="129"/>
      <c r="AM674" s="129"/>
    </row>
    <row r="675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  <c r="AH675" s="129"/>
      <c r="AI675" s="129"/>
      <c r="AJ675" s="129"/>
      <c r="AK675" s="129"/>
      <c r="AL675" s="129"/>
      <c r="AM675" s="129"/>
    </row>
    <row r="676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  <c r="AH676" s="129"/>
      <c r="AI676" s="129"/>
      <c r="AJ676" s="129"/>
      <c r="AK676" s="129"/>
      <c r="AL676" s="129"/>
      <c r="AM676" s="129"/>
    </row>
    <row r="677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  <c r="AH677" s="129"/>
      <c r="AI677" s="129"/>
      <c r="AJ677" s="129"/>
      <c r="AK677" s="129"/>
      <c r="AL677" s="129"/>
      <c r="AM677" s="129"/>
    </row>
    <row r="678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  <c r="AH678" s="129"/>
      <c r="AI678" s="129"/>
      <c r="AJ678" s="129"/>
      <c r="AK678" s="129"/>
      <c r="AL678" s="129"/>
      <c r="AM678" s="129"/>
    </row>
    <row r="679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  <c r="AH679" s="129"/>
      <c r="AI679" s="129"/>
      <c r="AJ679" s="129"/>
      <c r="AK679" s="129"/>
      <c r="AL679" s="129"/>
      <c r="AM679" s="129"/>
    </row>
    <row r="680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  <c r="AH680" s="129"/>
      <c r="AI680" s="129"/>
      <c r="AJ680" s="129"/>
      <c r="AK680" s="129"/>
      <c r="AL680" s="129"/>
      <c r="AM680" s="129"/>
    </row>
    <row r="68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  <c r="AH681" s="129"/>
      <c r="AI681" s="129"/>
      <c r="AJ681" s="129"/>
      <c r="AK681" s="129"/>
      <c r="AL681" s="129"/>
      <c r="AM681" s="129"/>
    </row>
    <row r="682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  <c r="AH682" s="129"/>
      <c r="AI682" s="129"/>
      <c r="AJ682" s="129"/>
      <c r="AK682" s="129"/>
      <c r="AL682" s="129"/>
      <c r="AM682" s="129"/>
    </row>
    <row r="683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  <c r="AH683" s="129"/>
      <c r="AI683" s="129"/>
      <c r="AJ683" s="129"/>
      <c r="AK683" s="129"/>
      <c r="AL683" s="129"/>
      <c r="AM683" s="129"/>
    </row>
    <row r="68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  <c r="AH684" s="129"/>
      <c r="AI684" s="129"/>
      <c r="AJ684" s="129"/>
      <c r="AK684" s="129"/>
      <c r="AL684" s="129"/>
      <c r="AM684" s="129"/>
    </row>
    <row r="685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  <c r="AH685" s="129"/>
      <c r="AI685" s="129"/>
      <c r="AJ685" s="129"/>
      <c r="AK685" s="129"/>
      <c r="AL685" s="129"/>
      <c r="AM685" s="129"/>
    </row>
    <row r="686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  <c r="AH686" s="129"/>
      <c r="AI686" s="129"/>
      <c r="AJ686" s="129"/>
      <c r="AK686" s="129"/>
      <c r="AL686" s="129"/>
      <c r="AM686" s="129"/>
    </row>
    <row r="687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  <c r="AH687" s="129"/>
      <c r="AI687" s="129"/>
      <c r="AJ687" s="129"/>
      <c r="AK687" s="129"/>
      <c r="AL687" s="129"/>
      <c r="AM687" s="129"/>
    </row>
    <row r="688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  <c r="AH688" s="129"/>
      <c r="AI688" s="129"/>
      <c r="AJ688" s="129"/>
      <c r="AK688" s="129"/>
      <c r="AL688" s="129"/>
      <c r="AM688" s="129"/>
    </row>
    <row r="689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  <c r="AH689" s="129"/>
      <c r="AI689" s="129"/>
      <c r="AJ689" s="129"/>
      <c r="AK689" s="129"/>
      <c r="AL689" s="129"/>
      <c r="AM689" s="129"/>
    </row>
    <row r="690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  <c r="AH690" s="129"/>
      <c r="AI690" s="129"/>
      <c r="AJ690" s="129"/>
      <c r="AK690" s="129"/>
      <c r="AL690" s="129"/>
      <c r="AM690" s="129"/>
    </row>
    <row r="69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  <c r="AH691" s="129"/>
      <c r="AI691" s="129"/>
      <c r="AJ691" s="129"/>
      <c r="AK691" s="129"/>
      <c r="AL691" s="129"/>
      <c r="AM691" s="129"/>
    </row>
    <row r="692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  <c r="AH692" s="129"/>
      <c r="AI692" s="129"/>
      <c r="AJ692" s="129"/>
      <c r="AK692" s="129"/>
      <c r="AL692" s="129"/>
      <c r="AM692" s="129"/>
    </row>
    <row r="693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  <c r="AH693" s="129"/>
      <c r="AI693" s="129"/>
      <c r="AJ693" s="129"/>
      <c r="AK693" s="129"/>
      <c r="AL693" s="129"/>
      <c r="AM693" s="129"/>
    </row>
    <row r="69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  <c r="AH694" s="129"/>
      <c r="AI694" s="129"/>
      <c r="AJ694" s="129"/>
      <c r="AK694" s="129"/>
      <c r="AL694" s="129"/>
      <c r="AM694" s="129"/>
    </row>
    <row r="695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  <c r="AH695" s="129"/>
      <c r="AI695" s="129"/>
      <c r="AJ695" s="129"/>
      <c r="AK695" s="129"/>
      <c r="AL695" s="129"/>
      <c r="AM695" s="129"/>
    </row>
    <row r="696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  <c r="AH696" s="129"/>
      <c r="AI696" s="129"/>
      <c r="AJ696" s="129"/>
      <c r="AK696" s="129"/>
      <c r="AL696" s="129"/>
      <c r="AM696" s="129"/>
    </row>
    <row r="697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  <c r="AH697" s="129"/>
      <c r="AI697" s="129"/>
      <c r="AJ697" s="129"/>
      <c r="AK697" s="129"/>
      <c r="AL697" s="129"/>
      <c r="AM697" s="129"/>
    </row>
    <row r="698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  <c r="AH698" s="129"/>
      <c r="AI698" s="129"/>
      <c r="AJ698" s="129"/>
      <c r="AK698" s="129"/>
      <c r="AL698" s="129"/>
      <c r="AM698" s="129"/>
    </row>
    <row r="699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  <c r="AH699" s="129"/>
      <c r="AI699" s="129"/>
      <c r="AJ699" s="129"/>
      <c r="AK699" s="129"/>
      <c r="AL699" s="129"/>
      <c r="AM699" s="129"/>
    </row>
    <row r="700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  <c r="AH700" s="129"/>
      <c r="AI700" s="129"/>
      <c r="AJ700" s="129"/>
      <c r="AK700" s="129"/>
      <c r="AL700" s="129"/>
      <c r="AM700" s="129"/>
    </row>
    <row r="70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  <c r="AH701" s="129"/>
      <c r="AI701" s="129"/>
      <c r="AJ701" s="129"/>
      <c r="AK701" s="129"/>
      <c r="AL701" s="129"/>
      <c r="AM701" s="129"/>
    </row>
    <row r="702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  <c r="AH702" s="129"/>
      <c r="AI702" s="129"/>
      <c r="AJ702" s="129"/>
      <c r="AK702" s="129"/>
      <c r="AL702" s="129"/>
      <c r="AM702" s="129"/>
    </row>
    <row r="703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  <c r="AH703" s="129"/>
      <c r="AI703" s="129"/>
      <c r="AJ703" s="129"/>
      <c r="AK703" s="129"/>
      <c r="AL703" s="129"/>
      <c r="AM703" s="129"/>
    </row>
    <row r="70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  <c r="AH704" s="129"/>
      <c r="AI704" s="129"/>
      <c r="AJ704" s="129"/>
      <c r="AK704" s="129"/>
      <c r="AL704" s="129"/>
      <c r="AM704" s="129"/>
    </row>
    <row r="705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  <c r="AH705" s="129"/>
      <c r="AI705" s="129"/>
      <c r="AJ705" s="129"/>
      <c r="AK705" s="129"/>
      <c r="AL705" s="129"/>
      <c r="AM705" s="129"/>
    </row>
    <row r="706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  <c r="AH706" s="129"/>
      <c r="AI706" s="129"/>
      <c r="AJ706" s="129"/>
      <c r="AK706" s="129"/>
      <c r="AL706" s="129"/>
      <c r="AM706" s="129"/>
    </row>
    <row r="707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  <c r="AH707" s="129"/>
      <c r="AI707" s="129"/>
      <c r="AJ707" s="129"/>
      <c r="AK707" s="129"/>
      <c r="AL707" s="129"/>
      <c r="AM707" s="129"/>
    </row>
    <row r="708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  <c r="AH708" s="129"/>
      <c r="AI708" s="129"/>
      <c r="AJ708" s="129"/>
      <c r="AK708" s="129"/>
      <c r="AL708" s="129"/>
      <c r="AM708" s="129"/>
    </row>
    <row r="709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  <c r="AH709" s="129"/>
      <c r="AI709" s="129"/>
      <c r="AJ709" s="129"/>
      <c r="AK709" s="129"/>
      <c r="AL709" s="129"/>
      <c r="AM709" s="129"/>
    </row>
    <row r="710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  <c r="AH710" s="129"/>
      <c r="AI710" s="129"/>
      <c r="AJ710" s="129"/>
      <c r="AK710" s="129"/>
      <c r="AL710" s="129"/>
      <c r="AM710" s="129"/>
    </row>
    <row r="71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  <c r="AH711" s="129"/>
      <c r="AI711" s="129"/>
      <c r="AJ711" s="129"/>
      <c r="AK711" s="129"/>
      <c r="AL711" s="129"/>
      <c r="AM711" s="129"/>
    </row>
    <row r="712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  <c r="AH712" s="129"/>
      <c r="AI712" s="129"/>
      <c r="AJ712" s="129"/>
      <c r="AK712" s="129"/>
      <c r="AL712" s="129"/>
      <c r="AM712" s="129"/>
    </row>
    <row r="713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  <c r="AH713" s="129"/>
      <c r="AI713" s="129"/>
      <c r="AJ713" s="129"/>
      <c r="AK713" s="129"/>
      <c r="AL713" s="129"/>
      <c r="AM713" s="129"/>
    </row>
    <row r="71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  <c r="AH714" s="129"/>
      <c r="AI714" s="129"/>
      <c r="AJ714" s="129"/>
      <c r="AK714" s="129"/>
      <c r="AL714" s="129"/>
      <c r="AM714" s="129"/>
    </row>
    <row r="715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  <c r="AH715" s="129"/>
      <c r="AI715" s="129"/>
      <c r="AJ715" s="129"/>
      <c r="AK715" s="129"/>
      <c r="AL715" s="129"/>
      <c r="AM715" s="129"/>
    </row>
    <row r="716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  <c r="AH716" s="129"/>
      <c r="AI716" s="129"/>
      <c r="AJ716" s="129"/>
      <c r="AK716" s="129"/>
      <c r="AL716" s="129"/>
      <c r="AM716" s="129"/>
    </row>
    <row r="717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  <c r="AH717" s="129"/>
      <c r="AI717" s="129"/>
      <c r="AJ717" s="129"/>
      <c r="AK717" s="129"/>
      <c r="AL717" s="129"/>
      <c r="AM717" s="129"/>
    </row>
    <row r="718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  <c r="AH718" s="129"/>
      <c r="AI718" s="129"/>
      <c r="AJ718" s="129"/>
      <c r="AK718" s="129"/>
      <c r="AL718" s="129"/>
      <c r="AM718" s="129"/>
    </row>
    <row r="719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  <c r="AH719" s="129"/>
      <c r="AI719" s="129"/>
      <c r="AJ719" s="129"/>
      <c r="AK719" s="129"/>
      <c r="AL719" s="129"/>
      <c r="AM719" s="129"/>
    </row>
    <row r="720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  <c r="AH720" s="129"/>
      <c r="AI720" s="129"/>
      <c r="AJ720" s="129"/>
      <c r="AK720" s="129"/>
      <c r="AL720" s="129"/>
      <c r="AM720" s="129"/>
    </row>
    <row r="72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  <c r="AH721" s="129"/>
      <c r="AI721" s="129"/>
      <c r="AJ721" s="129"/>
      <c r="AK721" s="129"/>
      <c r="AL721" s="129"/>
      <c r="AM721" s="129"/>
    </row>
    <row r="722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  <c r="AH722" s="129"/>
      <c r="AI722" s="129"/>
      <c r="AJ722" s="129"/>
      <c r="AK722" s="129"/>
      <c r="AL722" s="129"/>
      <c r="AM722" s="129"/>
    </row>
    <row r="723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  <c r="AH723" s="129"/>
      <c r="AI723" s="129"/>
      <c r="AJ723" s="129"/>
      <c r="AK723" s="129"/>
      <c r="AL723" s="129"/>
      <c r="AM723" s="129"/>
    </row>
    <row r="72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  <c r="AH724" s="129"/>
      <c r="AI724" s="129"/>
      <c r="AJ724" s="129"/>
      <c r="AK724" s="129"/>
      <c r="AL724" s="129"/>
      <c r="AM724" s="129"/>
    </row>
    <row r="725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  <c r="AH725" s="129"/>
      <c r="AI725" s="129"/>
      <c r="AJ725" s="129"/>
      <c r="AK725" s="129"/>
      <c r="AL725" s="129"/>
      <c r="AM725" s="129"/>
    </row>
    <row r="726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  <c r="AH726" s="129"/>
      <c r="AI726" s="129"/>
      <c r="AJ726" s="129"/>
      <c r="AK726" s="129"/>
      <c r="AL726" s="129"/>
      <c r="AM726" s="129"/>
    </row>
    <row r="727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  <c r="AH727" s="129"/>
      <c r="AI727" s="129"/>
      <c r="AJ727" s="129"/>
      <c r="AK727" s="129"/>
      <c r="AL727" s="129"/>
      <c r="AM727" s="129"/>
    </row>
    <row r="728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  <c r="AH728" s="129"/>
      <c r="AI728" s="129"/>
      <c r="AJ728" s="129"/>
      <c r="AK728" s="129"/>
      <c r="AL728" s="129"/>
      <c r="AM728" s="129"/>
    </row>
    <row r="729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  <c r="AH729" s="129"/>
      <c r="AI729" s="129"/>
      <c r="AJ729" s="129"/>
      <c r="AK729" s="129"/>
      <c r="AL729" s="129"/>
      <c r="AM729" s="129"/>
    </row>
    <row r="730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  <c r="AH730" s="129"/>
      <c r="AI730" s="129"/>
      <c r="AJ730" s="129"/>
      <c r="AK730" s="129"/>
      <c r="AL730" s="129"/>
      <c r="AM730" s="129"/>
    </row>
    <row r="73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  <c r="AH731" s="129"/>
      <c r="AI731" s="129"/>
      <c r="AJ731" s="129"/>
      <c r="AK731" s="129"/>
      <c r="AL731" s="129"/>
      <c r="AM731" s="129"/>
    </row>
    <row r="732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  <c r="AH732" s="129"/>
      <c r="AI732" s="129"/>
      <c r="AJ732" s="129"/>
      <c r="AK732" s="129"/>
      <c r="AL732" s="129"/>
      <c r="AM732" s="129"/>
    </row>
    <row r="733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  <c r="AH733" s="129"/>
      <c r="AI733" s="129"/>
      <c r="AJ733" s="129"/>
      <c r="AK733" s="129"/>
      <c r="AL733" s="129"/>
      <c r="AM733" s="129"/>
    </row>
    <row r="73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  <c r="AH734" s="129"/>
      <c r="AI734" s="129"/>
      <c r="AJ734" s="129"/>
      <c r="AK734" s="129"/>
      <c r="AL734" s="129"/>
      <c r="AM734" s="129"/>
    </row>
    <row r="735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  <c r="AH735" s="129"/>
      <c r="AI735" s="129"/>
      <c r="AJ735" s="129"/>
      <c r="AK735" s="129"/>
      <c r="AL735" s="129"/>
      <c r="AM735" s="129"/>
    </row>
    <row r="736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  <c r="AH736" s="129"/>
      <c r="AI736" s="129"/>
      <c r="AJ736" s="129"/>
      <c r="AK736" s="129"/>
      <c r="AL736" s="129"/>
      <c r="AM736" s="129"/>
    </row>
    <row r="737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  <c r="AH737" s="129"/>
      <c r="AI737" s="129"/>
      <c r="AJ737" s="129"/>
      <c r="AK737" s="129"/>
      <c r="AL737" s="129"/>
      <c r="AM737" s="129"/>
    </row>
    <row r="738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  <c r="AH738" s="129"/>
      <c r="AI738" s="129"/>
      <c r="AJ738" s="129"/>
      <c r="AK738" s="129"/>
      <c r="AL738" s="129"/>
      <c r="AM738" s="129"/>
    </row>
    <row r="739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  <c r="AH739" s="129"/>
      <c r="AI739" s="129"/>
      <c r="AJ739" s="129"/>
      <c r="AK739" s="129"/>
      <c r="AL739" s="129"/>
      <c r="AM739" s="129"/>
    </row>
    <row r="740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  <c r="AH740" s="129"/>
      <c r="AI740" s="129"/>
      <c r="AJ740" s="129"/>
      <c r="AK740" s="129"/>
      <c r="AL740" s="129"/>
      <c r="AM740" s="129"/>
    </row>
    <row r="74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  <c r="AH741" s="129"/>
      <c r="AI741" s="129"/>
      <c r="AJ741" s="129"/>
      <c r="AK741" s="129"/>
      <c r="AL741" s="129"/>
      <c r="AM741" s="129"/>
    </row>
    <row r="742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  <c r="AH742" s="129"/>
      <c r="AI742" s="129"/>
      <c r="AJ742" s="129"/>
      <c r="AK742" s="129"/>
      <c r="AL742" s="129"/>
      <c r="AM742" s="129"/>
    </row>
    <row r="743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  <c r="AH743" s="129"/>
      <c r="AI743" s="129"/>
      <c r="AJ743" s="129"/>
      <c r="AK743" s="129"/>
      <c r="AL743" s="129"/>
      <c r="AM743" s="129"/>
    </row>
    <row r="74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  <c r="AH744" s="129"/>
      <c r="AI744" s="129"/>
      <c r="AJ744" s="129"/>
      <c r="AK744" s="129"/>
      <c r="AL744" s="129"/>
      <c r="AM744" s="129"/>
    </row>
    <row r="745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  <c r="AH745" s="129"/>
      <c r="AI745" s="129"/>
      <c r="AJ745" s="129"/>
      <c r="AK745" s="129"/>
      <c r="AL745" s="129"/>
      <c r="AM745" s="129"/>
    </row>
    <row r="746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  <c r="AH746" s="129"/>
      <c r="AI746" s="129"/>
      <c r="AJ746" s="129"/>
      <c r="AK746" s="129"/>
      <c r="AL746" s="129"/>
      <c r="AM746" s="129"/>
    </row>
    <row r="747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  <c r="AH747" s="129"/>
      <c r="AI747" s="129"/>
      <c r="AJ747" s="129"/>
      <c r="AK747" s="129"/>
      <c r="AL747" s="129"/>
      <c r="AM747" s="129"/>
    </row>
    <row r="748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  <c r="AH748" s="129"/>
      <c r="AI748" s="129"/>
      <c r="AJ748" s="129"/>
      <c r="AK748" s="129"/>
      <c r="AL748" s="129"/>
      <c r="AM748" s="129"/>
    </row>
    <row r="749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  <c r="AH749" s="129"/>
      <c r="AI749" s="129"/>
      <c r="AJ749" s="129"/>
      <c r="AK749" s="129"/>
      <c r="AL749" s="129"/>
      <c r="AM749" s="129"/>
    </row>
    <row r="750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  <c r="AH750" s="129"/>
      <c r="AI750" s="129"/>
      <c r="AJ750" s="129"/>
      <c r="AK750" s="129"/>
      <c r="AL750" s="129"/>
      <c r="AM750" s="129"/>
    </row>
    <row r="75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  <c r="AH751" s="129"/>
      <c r="AI751" s="129"/>
      <c r="AJ751" s="129"/>
      <c r="AK751" s="129"/>
      <c r="AL751" s="129"/>
      <c r="AM751" s="129"/>
    </row>
    <row r="752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  <c r="AH752" s="129"/>
      <c r="AI752" s="129"/>
      <c r="AJ752" s="129"/>
      <c r="AK752" s="129"/>
      <c r="AL752" s="129"/>
      <c r="AM752" s="129"/>
    </row>
    <row r="753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  <c r="AH753" s="129"/>
      <c r="AI753" s="129"/>
      <c r="AJ753" s="129"/>
      <c r="AK753" s="129"/>
      <c r="AL753" s="129"/>
      <c r="AM753" s="129"/>
    </row>
    <row r="75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  <c r="AH754" s="129"/>
      <c r="AI754" s="129"/>
      <c r="AJ754" s="129"/>
      <c r="AK754" s="129"/>
      <c r="AL754" s="129"/>
      <c r="AM754" s="129"/>
    </row>
    <row r="755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  <c r="AH755" s="129"/>
      <c r="AI755" s="129"/>
      <c r="AJ755" s="129"/>
      <c r="AK755" s="129"/>
      <c r="AL755" s="129"/>
      <c r="AM755" s="129"/>
    </row>
    <row r="756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  <c r="AH756" s="129"/>
      <c r="AI756" s="129"/>
      <c r="AJ756" s="129"/>
      <c r="AK756" s="129"/>
      <c r="AL756" s="129"/>
      <c r="AM756" s="129"/>
    </row>
    <row r="757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  <c r="AH757" s="129"/>
      <c r="AI757" s="129"/>
      <c r="AJ757" s="129"/>
      <c r="AK757" s="129"/>
      <c r="AL757" s="129"/>
      <c r="AM757" s="129"/>
    </row>
    <row r="758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  <c r="AH758" s="129"/>
      <c r="AI758" s="129"/>
      <c r="AJ758" s="129"/>
      <c r="AK758" s="129"/>
      <c r="AL758" s="129"/>
      <c r="AM758" s="129"/>
    </row>
    <row r="759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  <c r="AH759" s="129"/>
      <c r="AI759" s="129"/>
      <c r="AJ759" s="129"/>
      <c r="AK759" s="129"/>
      <c r="AL759" s="129"/>
      <c r="AM759" s="129"/>
    </row>
    <row r="760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  <c r="AH760" s="129"/>
      <c r="AI760" s="129"/>
      <c r="AJ760" s="129"/>
      <c r="AK760" s="129"/>
      <c r="AL760" s="129"/>
      <c r="AM760" s="129"/>
    </row>
    <row r="76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  <c r="AH761" s="129"/>
      <c r="AI761" s="129"/>
      <c r="AJ761" s="129"/>
      <c r="AK761" s="129"/>
      <c r="AL761" s="129"/>
      <c r="AM761" s="129"/>
    </row>
    <row r="762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  <c r="AH762" s="129"/>
      <c r="AI762" s="129"/>
      <c r="AJ762" s="129"/>
      <c r="AK762" s="129"/>
      <c r="AL762" s="129"/>
      <c r="AM762" s="129"/>
    </row>
    <row r="763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  <c r="AH763" s="129"/>
      <c r="AI763" s="129"/>
      <c r="AJ763" s="129"/>
      <c r="AK763" s="129"/>
      <c r="AL763" s="129"/>
      <c r="AM763" s="129"/>
    </row>
    <row r="76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  <c r="AH764" s="129"/>
      <c r="AI764" s="129"/>
      <c r="AJ764" s="129"/>
      <c r="AK764" s="129"/>
      <c r="AL764" s="129"/>
      <c r="AM764" s="129"/>
    </row>
    <row r="765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  <c r="AH765" s="129"/>
      <c r="AI765" s="129"/>
      <c r="AJ765" s="129"/>
      <c r="AK765" s="129"/>
      <c r="AL765" s="129"/>
      <c r="AM765" s="129"/>
    </row>
    <row r="766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  <c r="AH766" s="129"/>
      <c r="AI766" s="129"/>
      <c r="AJ766" s="129"/>
      <c r="AK766" s="129"/>
      <c r="AL766" s="129"/>
      <c r="AM766" s="129"/>
    </row>
    <row r="767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  <c r="AH767" s="129"/>
      <c r="AI767" s="129"/>
      <c r="AJ767" s="129"/>
      <c r="AK767" s="129"/>
      <c r="AL767" s="129"/>
      <c r="AM767" s="129"/>
    </row>
    <row r="768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  <c r="AH768" s="129"/>
      <c r="AI768" s="129"/>
      <c r="AJ768" s="129"/>
      <c r="AK768" s="129"/>
      <c r="AL768" s="129"/>
      <c r="AM768" s="129"/>
    </row>
    <row r="769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  <c r="AH769" s="129"/>
      <c r="AI769" s="129"/>
      <c r="AJ769" s="129"/>
      <c r="AK769" s="129"/>
      <c r="AL769" s="129"/>
      <c r="AM769" s="129"/>
    </row>
    <row r="770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  <c r="AH770" s="129"/>
      <c r="AI770" s="129"/>
      <c r="AJ770" s="129"/>
      <c r="AK770" s="129"/>
      <c r="AL770" s="129"/>
      <c r="AM770" s="129"/>
    </row>
    <row r="77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  <c r="AH771" s="129"/>
      <c r="AI771" s="129"/>
      <c r="AJ771" s="129"/>
      <c r="AK771" s="129"/>
      <c r="AL771" s="129"/>
      <c r="AM771" s="129"/>
    </row>
    <row r="772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  <c r="AH772" s="129"/>
      <c r="AI772" s="129"/>
      <c r="AJ772" s="129"/>
      <c r="AK772" s="129"/>
      <c r="AL772" s="129"/>
      <c r="AM772" s="129"/>
    </row>
    <row r="773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  <c r="AH773" s="129"/>
      <c r="AI773" s="129"/>
      <c r="AJ773" s="129"/>
      <c r="AK773" s="129"/>
      <c r="AL773" s="129"/>
      <c r="AM773" s="129"/>
    </row>
    <row r="77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  <c r="AH774" s="129"/>
      <c r="AI774" s="129"/>
      <c r="AJ774" s="129"/>
      <c r="AK774" s="129"/>
      <c r="AL774" s="129"/>
      <c r="AM774" s="129"/>
    </row>
    <row r="775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  <c r="AH775" s="129"/>
      <c r="AI775" s="129"/>
      <c r="AJ775" s="129"/>
      <c r="AK775" s="129"/>
      <c r="AL775" s="129"/>
      <c r="AM775" s="129"/>
    </row>
    <row r="776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  <c r="AH776" s="129"/>
      <c r="AI776" s="129"/>
      <c r="AJ776" s="129"/>
      <c r="AK776" s="129"/>
      <c r="AL776" s="129"/>
      <c r="AM776" s="129"/>
    </row>
    <row r="777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  <c r="AH777" s="129"/>
      <c r="AI777" s="129"/>
      <c r="AJ777" s="129"/>
      <c r="AK777" s="129"/>
      <c r="AL777" s="129"/>
      <c r="AM777" s="129"/>
    </row>
    <row r="778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  <c r="AH778" s="129"/>
      <c r="AI778" s="129"/>
      <c r="AJ778" s="129"/>
      <c r="AK778" s="129"/>
      <c r="AL778" s="129"/>
      <c r="AM778" s="129"/>
    </row>
    <row r="779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  <c r="AH779" s="129"/>
      <c r="AI779" s="129"/>
      <c r="AJ779" s="129"/>
      <c r="AK779" s="129"/>
      <c r="AL779" s="129"/>
      <c r="AM779" s="129"/>
    </row>
    <row r="780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  <c r="AH780" s="129"/>
      <c r="AI780" s="129"/>
      <c r="AJ780" s="129"/>
      <c r="AK780" s="129"/>
      <c r="AL780" s="129"/>
      <c r="AM780" s="129"/>
    </row>
    <row r="78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  <c r="AH781" s="129"/>
      <c r="AI781" s="129"/>
      <c r="AJ781" s="129"/>
      <c r="AK781" s="129"/>
      <c r="AL781" s="129"/>
      <c r="AM781" s="129"/>
    </row>
    <row r="782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  <c r="AH782" s="129"/>
      <c r="AI782" s="129"/>
      <c r="AJ782" s="129"/>
      <c r="AK782" s="129"/>
      <c r="AL782" s="129"/>
      <c r="AM782" s="129"/>
    </row>
    <row r="783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  <c r="AH783" s="129"/>
      <c r="AI783" s="129"/>
      <c r="AJ783" s="129"/>
      <c r="AK783" s="129"/>
      <c r="AL783" s="129"/>
      <c r="AM783" s="129"/>
    </row>
    <row r="78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  <c r="AH784" s="129"/>
      <c r="AI784" s="129"/>
      <c r="AJ784" s="129"/>
      <c r="AK784" s="129"/>
      <c r="AL784" s="129"/>
      <c r="AM784" s="129"/>
    </row>
    <row r="785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  <c r="AH785" s="129"/>
      <c r="AI785" s="129"/>
      <c r="AJ785" s="129"/>
      <c r="AK785" s="129"/>
      <c r="AL785" s="129"/>
      <c r="AM785" s="129"/>
    </row>
    <row r="786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  <c r="AH786" s="129"/>
      <c r="AI786" s="129"/>
      <c r="AJ786" s="129"/>
      <c r="AK786" s="129"/>
      <c r="AL786" s="129"/>
      <c r="AM786" s="129"/>
    </row>
    <row r="787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  <c r="AH787" s="129"/>
      <c r="AI787" s="129"/>
      <c r="AJ787" s="129"/>
      <c r="AK787" s="129"/>
      <c r="AL787" s="129"/>
      <c r="AM787" s="129"/>
    </row>
    <row r="788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  <c r="AH788" s="129"/>
      <c r="AI788" s="129"/>
      <c r="AJ788" s="129"/>
      <c r="AK788" s="129"/>
      <c r="AL788" s="129"/>
      <c r="AM788" s="129"/>
    </row>
    <row r="789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  <c r="AH789" s="129"/>
      <c r="AI789" s="129"/>
      <c r="AJ789" s="129"/>
      <c r="AK789" s="129"/>
      <c r="AL789" s="129"/>
      <c r="AM789" s="129"/>
    </row>
    <row r="790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  <c r="AH790" s="129"/>
      <c r="AI790" s="129"/>
      <c r="AJ790" s="129"/>
      <c r="AK790" s="129"/>
      <c r="AL790" s="129"/>
      <c r="AM790" s="129"/>
    </row>
    <row r="79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  <c r="AH791" s="129"/>
      <c r="AI791" s="129"/>
      <c r="AJ791" s="129"/>
      <c r="AK791" s="129"/>
      <c r="AL791" s="129"/>
      <c r="AM791" s="129"/>
    </row>
    <row r="792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  <c r="AH792" s="129"/>
      <c r="AI792" s="129"/>
      <c r="AJ792" s="129"/>
      <c r="AK792" s="129"/>
      <c r="AL792" s="129"/>
      <c r="AM792" s="129"/>
    </row>
    <row r="793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  <c r="AH793" s="129"/>
      <c r="AI793" s="129"/>
      <c r="AJ793" s="129"/>
      <c r="AK793" s="129"/>
      <c r="AL793" s="129"/>
      <c r="AM793" s="129"/>
    </row>
    <row r="79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  <c r="AH794" s="129"/>
      <c r="AI794" s="129"/>
      <c r="AJ794" s="129"/>
      <c r="AK794" s="129"/>
      <c r="AL794" s="129"/>
      <c r="AM794" s="129"/>
    </row>
    <row r="795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  <c r="AH795" s="129"/>
      <c r="AI795" s="129"/>
      <c r="AJ795" s="129"/>
      <c r="AK795" s="129"/>
      <c r="AL795" s="129"/>
      <c r="AM795" s="129"/>
    </row>
    <row r="796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  <c r="AH796" s="129"/>
      <c r="AI796" s="129"/>
      <c r="AJ796" s="129"/>
      <c r="AK796" s="129"/>
      <c r="AL796" s="129"/>
      <c r="AM796" s="129"/>
    </row>
    <row r="797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  <c r="AH797" s="129"/>
      <c r="AI797" s="129"/>
      <c r="AJ797" s="129"/>
      <c r="AK797" s="129"/>
      <c r="AL797" s="129"/>
      <c r="AM797" s="129"/>
    </row>
    <row r="798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  <c r="AH798" s="129"/>
      <c r="AI798" s="129"/>
      <c r="AJ798" s="129"/>
      <c r="AK798" s="129"/>
      <c r="AL798" s="129"/>
      <c r="AM798" s="129"/>
    </row>
    <row r="799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  <c r="AH799" s="129"/>
      <c r="AI799" s="129"/>
      <c r="AJ799" s="129"/>
      <c r="AK799" s="129"/>
      <c r="AL799" s="129"/>
      <c r="AM799" s="129"/>
    </row>
    <row r="800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  <c r="AH800" s="129"/>
      <c r="AI800" s="129"/>
      <c r="AJ800" s="129"/>
      <c r="AK800" s="129"/>
      <c r="AL800" s="129"/>
      <c r="AM800" s="129"/>
    </row>
    <row r="80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  <c r="AH801" s="129"/>
      <c r="AI801" s="129"/>
      <c r="AJ801" s="129"/>
      <c r="AK801" s="129"/>
      <c r="AL801" s="129"/>
      <c r="AM801" s="129"/>
    </row>
    <row r="802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  <c r="AH802" s="129"/>
      <c r="AI802" s="129"/>
      <c r="AJ802" s="129"/>
      <c r="AK802" s="129"/>
      <c r="AL802" s="129"/>
      <c r="AM802" s="129"/>
    </row>
    <row r="803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  <c r="AH803" s="129"/>
      <c r="AI803" s="129"/>
      <c r="AJ803" s="129"/>
      <c r="AK803" s="129"/>
      <c r="AL803" s="129"/>
      <c r="AM803" s="129"/>
    </row>
    <row r="80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  <c r="AH804" s="129"/>
      <c r="AI804" s="129"/>
      <c r="AJ804" s="129"/>
      <c r="AK804" s="129"/>
      <c r="AL804" s="129"/>
      <c r="AM804" s="129"/>
    </row>
    <row r="805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  <c r="AH805" s="129"/>
      <c r="AI805" s="129"/>
      <c r="AJ805" s="129"/>
      <c r="AK805" s="129"/>
      <c r="AL805" s="129"/>
      <c r="AM805" s="129"/>
    </row>
    <row r="806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  <c r="AH806" s="129"/>
      <c r="AI806" s="129"/>
      <c r="AJ806" s="129"/>
      <c r="AK806" s="129"/>
      <c r="AL806" s="129"/>
      <c r="AM806" s="129"/>
    </row>
    <row r="807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  <c r="AH807" s="129"/>
      <c r="AI807" s="129"/>
      <c r="AJ807" s="129"/>
      <c r="AK807" s="129"/>
      <c r="AL807" s="129"/>
      <c r="AM807" s="129"/>
    </row>
    <row r="808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  <c r="AH808" s="129"/>
      <c r="AI808" s="129"/>
      <c r="AJ808" s="129"/>
      <c r="AK808" s="129"/>
      <c r="AL808" s="129"/>
      <c r="AM808" s="129"/>
    </row>
    <row r="809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  <c r="AH809" s="129"/>
      <c r="AI809" s="129"/>
      <c r="AJ809" s="129"/>
      <c r="AK809" s="129"/>
      <c r="AL809" s="129"/>
      <c r="AM809" s="129"/>
    </row>
    <row r="810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  <c r="AH810" s="129"/>
      <c r="AI810" s="129"/>
      <c r="AJ810" s="129"/>
      <c r="AK810" s="129"/>
      <c r="AL810" s="129"/>
      <c r="AM810" s="129"/>
    </row>
    <row r="81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  <c r="AH811" s="129"/>
      <c r="AI811" s="129"/>
      <c r="AJ811" s="129"/>
      <c r="AK811" s="129"/>
      <c r="AL811" s="129"/>
      <c r="AM811" s="129"/>
    </row>
    <row r="812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  <c r="AH812" s="129"/>
      <c r="AI812" s="129"/>
      <c r="AJ812" s="129"/>
      <c r="AK812" s="129"/>
      <c r="AL812" s="129"/>
      <c r="AM812" s="129"/>
    </row>
    <row r="813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  <c r="AH813" s="129"/>
      <c r="AI813" s="129"/>
      <c r="AJ813" s="129"/>
      <c r="AK813" s="129"/>
      <c r="AL813" s="129"/>
      <c r="AM813" s="129"/>
    </row>
    <row r="81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  <c r="AH814" s="129"/>
      <c r="AI814" s="129"/>
      <c r="AJ814" s="129"/>
      <c r="AK814" s="129"/>
      <c r="AL814" s="129"/>
      <c r="AM814" s="129"/>
    </row>
    <row r="815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  <c r="AH815" s="129"/>
      <c r="AI815" s="129"/>
      <c r="AJ815" s="129"/>
      <c r="AK815" s="129"/>
      <c r="AL815" s="129"/>
      <c r="AM815" s="129"/>
    </row>
    <row r="816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  <c r="AH816" s="129"/>
      <c r="AI816" s="129"/>
      <c r="AJ816" s="129"/>
      <c r="AK816" s="129"/>
      <c r="AL816" s="129"/>
      <c r="AM816" s="129"/>
    </row>
    <row r="817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  <c r="AH817" s="129"/>
      <c r="AI817" s="129"/>
      <c r="AJ817" s="129"/>
      <c r="AK817" s="129"/>
      <c r="AL817" s="129"/>
      <c r="AM817" s="129"/>
    </row>
    <row r="818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  <c r="AH818" s="129"/>
      <c r="AI818" s="129"/>
      <c r="AJ818" s="129"/>
      <c r="AK818" s="129"/>
      <c r="AL818" s="129"/>
      <c r="AM818" s="129"/>
    </row>
    <row r="819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  <c r="AH819" s="129"/>
      <c r="AI819" s="129"/>
      <c r="AJ819" s="129"/>
      <c r="AK819" s="129"/>
      <c r="AL819" s="129"/>
      <c r="AM819" s="129"/>
    </row>
    <row r="820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  <c r="AH820" s="129"/>
      <c r="AI820" s="129"/>
      <c r="AJ820" s="129"/>
      <c r="AK820" s="129"/>
      <c r="AL820" s="129"/>
      <c r="AM820" s="129"/>
    </row>
    <row r="82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  <c r="AH821" s="129"/>
      <c r="AI821" s="129"/>
      <c r="AJ821" s="129"/>
      <c r="AK821" s="129"/>
      <c r="AL821" s="129"/>
      <c r="AM821" s="129"/>
    </row>
    <row r="822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  <c r="AH822" s="129"/>
      <c r="AI822" s="129"/>
      <c r="AJ822" s="129"/>
      <c r="AK822" s="129"/>
      <c r="AL822" s="129"/>
      <c r="AM822" s="129"/>
    </row>
    <row r="823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  <c r="AH823" s="129"/>
      <c r="AI823" s="129"/>
      <c r="AJ823" s="129"/>
      <c r="AK823" s="129"/>
      <c r="AL823" s="129"/>
      <c r="AM823" s="129"/>
    </row>
    <row r="82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  <c r="AH824" s="129"/>
      <c r="AI824" s="129"/>
      <c r="AJ824" s="129"/>
      <c r="AK824" s="129"/>
      <c r="AL824" s="129"/>
      <c r="AM824" s="129"/>
    </row>
    <row r="825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  <c r="AH825" s="129"/>
      <c r="AI825" s="129"/>
      <c r="AJ825" s="129"/>
      <c r="AK825" s="129"/>
      <c r="AL825" s="129"/>
      <c r="AM825" s="129"/>
    </row>
    <row r="826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  <c r="AH826" s="129"/>
      <c r="AI826" s="129"/>
      <c r="AJ826" s="129"/>
      <c r="AK826" s="129"/>
      <c r="AL826" s="129"/>
      <c r="AM826" s="129"/>
    </row>
    <row r="827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  <c r="AH827" s="129"/>
      <c r="AI827" s="129"/>
      <c r="AJ827" s="129"/>
      <c r="AK827" s="129"/>
      <c r="AL827" s="129"/>
      <c r="AM827" s="129"/>
    </row>
    <row r="828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  <c r="AH828" s="129"/>
      <c r="AI828" s="129"/>
      <c r="AJ828" s="129"/>
      <c r="AK828" s="129"/>
      <c r="AL828" s="129"/>
      <c r="AM828" s="129"/>
    </row>
    <row r="829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  <c r="AH829" s="129"/>
      <c r="AI829" s="129"/>
      <c r="AJ829" s="129"/>
      <c r="AK829" s="129"/>
      <c r="AL829" s="129"/>
      <c r="AM829" s="129"/>
    </row>
    <row r="830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  <c r="AH830" s="129"/>
      <c r="AI830" s="129"/>
      <c r="AJ830" s="129"/>
      <c r="AK830" s="129"/>
      <c r="AL830" s="129"/>
      <c r="AM830" s="129"/>
    </row>
    <row r="83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  <c r="AH831" s="129"/>
      <c r="AI831" s="129"/>
      <c r="AJ831" s="129"/>
      <c r="AK831" s="129"/>
      <c r="AL831" s="129"/>
      <c r="AM831" s="129"/>
    </row>
    <row r="832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  <c r="AH832" s="129"/>
      <c r="AI832" s="129"/>
      <c r="AJ832" s="129"/>
      <c r="AK832" s="129"/>
      <c r="AL832" s="129"/>
      <c r="AM832" s="129"/>
    </row>
    <row r="833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  <c r="AH833" s="129"/>
      <c r="AI833" s="129"/>
      <c r="AJ833" s="129"/>
      <c r="AK833" s="129"/>
      <c r="AL833" s="129"/>
      <c r="AM833" s="129"/>
    </row>
    <row r="83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  <c r="AH834" s="129"/>
      <c r="AI834" s="129"/>
      <c r="AJ834" s="129"/>
      <c r="AK834" s="129"/>
      <c r="AL834" s="129"/>
      <c r="AM834" s="129"/>
    </row>
    <row r="835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  <c r="AH835" s="129"/>
      <c r="AI835" s="129"/>
      <c r="AJ835" s="129"/>
      <c r="AK835" s="129"/>
      <c r="AL835" s="129"/>
      <c r="AM835" s="129"/>
    </row>
    <row r="836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  <c r="AH836" s="129"/>
      <c r="AI836" s="129"/>
      <c r="AJ836" s="129"/>
      <c r="AK836" s="129"/>
      <c r="AL836" s="129"/>
      <c r="AM836" s="129"/>
    </row>
    <row r="837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  <c r="AH837" s="129"/>
      <c r="AI837" s="129"/>
      <c r="AJ837" s="129"/>
      <c r="AK837" s="129"/>
      <c r="AL837" s="129"/>
      <c r="AM837" s="129"/>
    </row>
    <row r="838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  <c r="AH838" s="129"/>
      <c r="AI838" s="129"/>
      <c r="AJ838" s="129"/>
      <c r="AK838" s="129"/>
      <c r="AL838" s="129"/>
      <c r="AM838" s="129"/>
    </row>
    <row r="839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  <c r="AH839" s="129"/>
      <c r="AI839" s="129"/>
      <c r="AJ839" s="129"/>
      <c r="AK839" s="129"/>
      <c r="AL839" s="129"/>
      <c r="AM839" s="129"/>
    </row>
    <row r="840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  <c r="AH840" s="129"/>
      <c r="AI840" s="129"/>
      <c r="AJ840" s="129"/>
      <c r="AK840" s="129"/>
      <c r="AL840" s="129"/>
      <c r="AM840" s="129"/>
    </row>
    <row r="84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  <c r="AH841" s="129"/>
      <c r="AI841" s="129"/>
      <c r="AJ841" s="129"/>
      <c r="AK841" s="129"/>
      <c r="AL841" s="129"/>
      <c r="AM841" s="129"/>
    </row>
    <row r="842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  <c r="AH842" s="129"/>
      <c r="AI842" s="129"/>
      <c r="AJ842" s="129"/>
      <c r="AK842" s="129"/>
      <c r="AL842" s="129"/>
      <c r="AM842" s="129"/>
    </row>
    <row r="843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  <c r="AH843" s="129"/>
      <c r="AI843" s="129"/>
      <c r="AJ843" s="129"/>
      <c r="AK843" s="129"/>
      <c r="AL843" s="129"/>
      <c r="AM843" s="129"/>
    </row>
    <row r="84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  <c r="AH844" s="129"/>
      <c r="AI844" s="129"/>
      <c r="AJ844" s="129"/>
      <c r="AK844" s="129"/>
      <c r="AL844" s="129"/>
      <c r="AM844" s="129"/>
    </row>
    <row r="845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  <c r="AH845" s="129"/>
      <c r="AI845" s="129"/>
      <c r="AJ845" s="129"/>
      <c r="AK845" s="129"/>
      <c r="AL845" s="129"/>
      <c r="AM845" s="129"/>
    </row>
    <row r="846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  <c r="AH846" s="129"/>
      <c r="AI846" s="129"/>
      <c r="AJ846" s="129"/>
      <c r="AK846" s="129"/>
      <c r="AL846" s="129"/>
      <c r="AM846" s="129"/>
    </row>
    <row r="847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  <c r="AH847" s="129"/>
      <c r="AI847" s="129"/>
      <c r="AJ847" s="129"/>
      <c r="AK847" s="129"/>
      <c r="AL847" s="129"/>
      <c r="AM847" s="129"/>
    </row>
    <row r="848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  <c r="AH848" s="129"/>
      <c r="AI848" s="129"/>
      <c r="AJ848" s="129"/>
      <c r="AK848" s="129"/>
      <c r="AL848" s="129"/>
      <c r="AM848" s="129"/>
    </row>
    <row r="849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  <c r="AH849" s="129"/>
      <c r="AI849" s="129"/>
      <c r="AJ849" s="129"/>
      <c r="AK849" s="129"/>
      <c r="AL849" s="129"/>
      <c r="AM849" s="129"/>
    </row>
    <row r="850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  <c r="AH850" s="129"/>
      <c r="AI850" s="129"/>
      <c r="AJ850" s="129"/>
      <c r="AK850" s="129"/>
      <c r="AL850" s="129"/>
      <c r="AM850" s="129"/>
    </row>
    <row r="85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  <c r="AH851" s="129"/>
      <c r="AI851" s="129"/>
      <c r="AJ851" s="129"/>
      <c r="AK851" s="129"/>
      <c r="AL851" s="129"/>
      <c r="AM851" s="129"/>
    </row>
    <row r="852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  <c r="AH852" s="129"/>
      <c r="AI852" s="129"/>
      <c r="AJ852" s="129"/>
      <c r="AK852" s="129"/>
      <c r="AL852" s="129"/>
      <c r="AM852" s="129"/>
    </row>
    <row r="853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  <c r="AH853" s="129"/>
      <c r="AI853" s="129"/>
      <c r="AJ853" s="129"/>
      <c r="AK853" s="129"/>
      <c r="AL853" s="129"/>
      <c r="AM853" s="129"/>
    </row>
    <row r="85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  <c r="AH854" s="129"/>
      <c r="AI854" s="129"/>
      <c r="AJ854" s="129"/>
      <c r="AK854" s="129"/>
      <c r="AL854" s="129"/>
      <c r="AM854" s="129"/>
    </row>
    <row r="855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  <c r="AH855" s="129"/>
      <c r="AI855" s="129"/>
      <c r="AJ855" s="129"/>
      <c r="AK855" s="129"/>
      <c r="AL855" s="129"/>
      <c r="AM855" s="129"/>
    </row>
    <row r="856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  <c r="AH856" s="129"/>
      <c r="AI856" s="129"/>
      <c r="AJ856" s="129"/>
      <c r="AK856" s="129"/>
      <c r="AL856" s="129"/>
      <c r="AM856" s="129"/>
    </row>
    <row r="857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  <c r="AH857" s="129"/>
      <c r="AI857" s="129"/>
      <c r="AJ857" s="129"/>
      <c r="AK857" s="129"/>
      <c r="AL857" s="129"/>
      <c r="AM857" s="129"/>
    </row>
    <row r="858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  <c r="AH858" s="129"/>
      <c r="AI858" s="129"/>
      <c r="AJ858" s="129"/>
      <c r="AK858" s="129"/>
      <c r="AL858" s="129"/>
      <c r="AM858" s="129"/>
    </row>
    <row r="859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  <c r="AH859" s="129"/>
      <c r="AI859" s="129"/>
      <c r="AJ859" s="129"/>
      <c r="AK859" s="129"/>
      <c r="AL859" s="129"/>
      <c r="AM859" s="129"/>
    </row>
    <row r="860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  <c r="AH860" s="129"/>
      <c r="AI860" s="129"/>
      <c r="AJ860" s="129"/>
      <c r="AK860" s="129"/>
      <c r="AL860" s="129"/>
      <c r="AM860" s="129"/>
    </row>
    <row r="86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  <c r="AH861" s="129"/>
      <c r="AI861" s="129"/>
      <c r="AJ861" s="129"/>
      <c r="AK861" s="129"/>
      <c r="AL861" s="129"/>
      <c r="AM861" s="129"/>
    </row>
    <row r="862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  <c r="AH862" s="129"/>
      <c r="AI862" s="129"/>
      <c r="AJ862" s="129"/>
      <c r="AK862" s="129"/>
      <c r="AL862" s="129"/>
      <c r="AM862" s="129"/>
    </row>
    <row r="863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  <c r="AH863" s="129"/>
      <c r="AI863" s="129"/>
      <c r="AJ863" s="129"/>
      <c r="AK863" s="129"/>
      <c r="AL863" s="129"/>
      <c r="AM863" s="129"/>
    </row>
    <row r="86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  <c r="AH864" s="129"/>
      <c r="AI864" s="129"/>
      <c r="AJ864" s="129"/>
      <c r="AK864" s="129"/>
      <c r="AL864" s="129"/>
      <c r="AM864" s="129"/>
    </row>
    <row r="865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  <c r="AH865" s="129"/>
      <c r="AI865" s="129"/>
      <c r="AJ865" s="129"/>
      <c r="AK865" s="129"/>
      <c r="AL865" s="129"/>
      <c r="AM865" s="129"/>
    </row>
    <row r="866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  <c r="AH866" s="129"/>
      <c r="AI866" s="129"/>
      <c r="AJ866" s="129"/>
      <c r="AK866" s="129"/>
      <c r="AL866" s="129"/>
      <c r="AM866" s="129"/>
    </row>
    <row r="867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  <c r="AH867" s="129"/>
      <c r="AI867" s="129"/>
      <c r="AJ867" s="129"/>
      <c r="AK867" s="129"/>
      <c r="AL867" s="129"/>
      <c r="AM867" s="129"/>
    </row>
    <row r="868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  <c r="AH868" s="129"/>
      <c r="AI868" s="129"/>
      <c r="AJ868" s="129"/>
      <c r="AK868" s="129"/>
      <c r="AL868" s="129"/>
      <c r="AM868" s="129"/>
    </row>
    <row r="869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  <c r="AH869" s="129"/>
      <c r="AI869" s="129"/>
      <c r="AJ869" s="129"/>
      <c r="AK869" s="129"/>
      <c r="AL869" s="129"/>
      <c r="AM869" s="129"/>
    </row>
    <row r="870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  <c r="AH870" s="129"/>
      <c r="AI870" s="129"/>
      <c r="AJ870" s="129"/>
      <c r="AK870" s="129"/>
      <c r="AL870" s="129"/>
      <c r="AM870" s="129"/>
    </row>
    <row r="87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  <c r="AH871" s="129"/>
      <c r="AI871" s="129"/>
      <c r="AJ871" s="129"/>
      <c r="AK871" s="129"/>
      <c r="AL871" s="129"/>
      <c r="AM871" s="129"/>
    </row>
    <row r="872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  <c r="AH872" s="129"/>
      <c r="AI872" s="129"/>
      <c r="AJ872" s="129"/>
      <c r="AK872" s="129"/>
      <c r="AL872" s="129"/>
      <c r="AM872" s="129"/>
    </row>
    <row r="873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  <c r="AH873" s="129"/>
      <c r="AI873" s="129"/>
      <c r="AJ873" s="129"/>
      <c r="AK873" s="129"/>
      <c r="AL873" s="129"/>
      <c r="AM873" s="129"/>
    </row>
    <row r="87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  <c r="AH874" s="129"/>
      <c r="AI874" s="129"/>
      <c r="AJ874" s="129"/>
      <c r="AK874" s="129"/>
      <c r="AL874" s="129"/>
      <c r="AM874" s="129"/>
    </row>
    <row r="875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  <c r="AH875" s="129"/>
      <c r="AI875" s="129"/>
      <c r="AJ875" s="129"/>
      <c r="AK875" s="129"/>
      <c r="AL875" s="129"/>
      <c r="AM875" s="129"/>
    </row>
    <row r="876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  <c r="AH876" s="129"/>
      <c r="AI876" s="129"/>
      <c r="AJ876" s="129"/>
      <c r="AK876" s="129"/>
      <c r="AL876" s="129"/>
      <c r="AM876" s="129"/>
    </row>
    <row r="877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  <c r="AH877" s="129"/>
      <c r="AI877" s="129"/>
      <c r="AJ877" s="129"/>
      <c r="AK877" s="129"/>
      <c r="AL877" s="129"/>
      <c r="AM877" s="129"/>
    </row>
    <row r="878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  <c r="AH878" s="129"/>
      <c r="AI878" s="129"/>
      <c r="AJ878" s="129"/>
      <c r="AK878" s="129"/>
      <c r="AL878" s="129"/>
      <c r="AM878" s="129"/>
    </row>
    <row r="879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  <c r="AH879" s="129"/>
      <c r="AI879" s="129"/>
      <c r="AJ879" s="129"/>
      <c r="AK879" s="129"/>
      <c r="AL879" s="129"/>
      <c r="AM879" s="129"/>
    </row>
    <row r="880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  <c r="AH880" s="129"/>
      <c r="AI880" s="129"/>
      <c r="AJ880" s="129"/>
      <c r="AK880" s="129"/>
      <c r="AL880" s="129"/>
      <c r="AM880" s="129"/>
    </row>
    <row r="88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  <c r="AH881" s="129"/>
      <c r="AI881" s="129"/>
      <c r="AJ881" s="129"/>
      <c r="AK881" s="129"/>
      <c r="AL881" s="129"/>
      <c r="AM881" s="129"/>
    </row>
    <row r="882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  <c r="AH882" s="129"/>
      <c r="AI882" s="129"/>
      <c r="AJ882" s="129"/>
      <c r="AK882" s="129"/>
      <c r="AL882" s="129"/>
      <c r="AM882" s="129"/>
    </row>
    <row r="883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  <c r="AH883" s="129"/>
      <c r="AI883" s="129"/>
      <c r="AJ883" s="129"/>
      <c r="AK883" s="129"/>
      <c r="AL883" s="129"/>
      <c r="AM883" s="129"/>
    </row>
    <row r="88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  <c r="AH884" s="129"/>
      <c r="AI884" s="129"/>
      <c r="AJ884" s="129"/>
      <c r="AK884" s="129"/>
      <c r="AL884" s="129"/>
      <c r="AM884" s="129"/>
    </row>
    <row r="885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  <c r="AH885" s="129"/>
      <c r="AI885" s="129"/>
      <c r="AJ885" s="129"/>
      <c r="AK885" s="129"/>
      <c r="AL885" s="129"/>
      <c r="AM885" s="129"/>
    </row>
    <row r="886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  <c r="AH886" s="129"/>
      <c r="AI886" s="129"/>
      <c r="AJ886" s="129"/>
      <c r="AK886" s="129"/>
      <c r="AL886" s="129"/>
      <c r="AM886" s="129"/>
    </row>
    <row r="887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  <c r="AH887" s="129"/>
      <c r="AI887" s="129"/>
      <c r="AJ887" s="129"/>
      <c r="AK887" s="129"/>
      <c r="AL887" s="129"/>
      <c r="AM887" s="129"/>
    </row>
    <row r="888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  <c r="AH888" s="129"/>
      <c r="AI888" s="129"/>
      <c r="AJ888" s="129"/>
      <c r="AK888" s="129"/>
      <c r="AL888" s="129"/>
      <c r="AM888" s="129"/>
    </row>
    <row r="889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  <c r="AH889" s="129"/>
      <c r="AI889" s="129"/>
      <c r="AJ889" s="129"/>
      <c r="AK889" s="129"/>
      <c r="AL889" s="129"/>
      <c r="AM889" s="129"/>
    </row>
    <row r="890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  <c r="AH890" s="129"/>
      <c r="AI890" s="129"/>
      <c r="AJ890" s="129"/>
      <c r="AK890" s="129"/>
      <c r="AL890" s="129"/>
      <c r="AM890" s="129"/>
    </row>
    <row r="89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  <c r="AH891" s="129"/>
      <c r="AI891" s="129"/>
      <c r="AJ891" s="129"/>
      <c r="AK891" s="129"/>
      <c r="AL891" s="129"/>
      <c r="AM891" s="129"/>
    </row>
    <row r="892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  <c r="AH892" s="129"/>
      <c r="AI892" s="129"/>
      <c r="AJ892" s="129"/>
      <c r="AK892" s="129"/>
      <c r="AL892" s="129"/>
      <c r="AM892" s="129"/>
    </row>
    <row r="893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  <c r="AH893" s="129"/>
      <c r="AI893" s="129"/>
      <c r="AJ893" s="129"/>
      <c r="AK893" s="129"/>
      <c r="AL893" s="129"/>
      <c r="AM893" s="129"/>
    </row>
    <row r="89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  <c r="AH894" s="129"/>
      <c r="AI894" s="129"/>
      <c r="AJ894" s="129"/>
      <c r="AK894" s="129"/>
      <c r="AL894" s="129"/>
      <c r="AM894" s="129"/>
    </row>
    <row r="895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  <c r="AH895" s="129"/>
      <c r="AI895" s="129"/>
      <c r="AJ895" s="129"/>
      <c r="AK895" s="129"/>
      <c r="AL895" s="129"/>
      <c r="AM895" s="129"/>
    </row>
    <row r="896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  <c r="AH896" s="129"/>
      <c r="AI896" s="129"/>
      <c r="AJ896" s="129"/>
      <c r="AK896" s="129"/>
      <c r="AL896" s="129"/>
      <c r="AM896" s="129"/>
    </row>
    <row r="897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  <c r="AH897" s="129"/>
      <c r="AI897" s="129"/>
      <c r="AJ897" s="129"/>
      <c r="AK897" s="129"/>
      <c r="AL897" s="129"/>
      <c r="AM897" s="129"/>
    </row>
    <row r="898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  <c r="AH898" s="129"/>
      <c r="AI898" s="129"/>
      <c r="AJ898" s="129"/>
      <c r="AK898" s="129"/>
      <c r="AL898" s="129"/>
      <c r="AM898" s="129"/>
    </row>
    <row r="899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  <c r="AH899" s="129"/>
      <c r="AI899" s="129"/>
      <c r="AJ899" s="129"/>
      <c r="AK899" s="129"/>
      <c r="AL899" s="129"/>
      <c r="AM899" s="129"/>
    </row>
    <row r="900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  <c r="AH900" s="129"/>
      <c r="AI900" s="129"/>
      <c r="AJ900" s="129"/>
      <c r="AK900" s="129"/>
      <c r="AL900" s="129"/>
      <c r="AM900" s="129"/>
    </row>
    <row r="90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  <c r="AH901" s="129"/>
      <c r="AI901" s="129"/>
      <c r="AJ901" s="129"/>
      <c r="AK901" s="129"/>
      <c r="AL901" s="129"/>
      <c r="AM901" s="129"/>
    </row>
    <row r="902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  <c r="AH902" s="129"/>
      <c r="AI902" s="129"/>
      <c r="AJ902" s="129"/>
      <c r="AK902" s="129"/>
      <c r="AL902" s="129"/>
      <c r="AM902" s="129"/>
    </row>
    <row r="903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  <c r="AH903" s="129"/>
      <c r="AI903" s="129"/>
      <c r="AJ903" s="129"/>
      <c r="AK903" s="129"/>
      <c r="AL903" s="129"/>
      <c r="AM903" s="129"/>
    </row>
    <row r="90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  <c r="AH904" s="129"/>
      <c r="AI904" s="129"/>
      <c r="AJ904" s="129"/>
      <c r="AK904" s="129"/>
      <c r="AL904" s="129"/>
      <c r="AM904" s="129"/>
    </row>
    <row r="905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  <c r="AH905" s="129"/>
      <c r="AI905" s="129"/>
      <c r="AJ905" s="129"/>
      <c r="AK905" s="129"/>
      <c r="AL905" s="129"/>
      <c r="AM905" s="129"/>
    </row>
    <row r="906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  <c r="AH906" s="129"/>
      <c r="AI906" s="129"/>
      <c r="AJ906" s="129"/>
      <c r="AK906" s="129"/>
      <c r="AL906" s="129"/>
      <c r="AM906" s="129"/>
    </row>
    <row r="907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  <c r="AH907" s="129"/>
      <c r="AI907" s="129"/>
      <c r="AJ907" s="129"/>
      <c r="AK907" s="129"/>
      <c r="AL907" s="129"/>
      <c r="AM907" s="129"/>
    </row>
    <row r="908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  <c r="AH908" s="129"/>
      <c r="AI908" s="129"/>
      <c r="AJ908" s="129"/>
      <c r="AK908" s="129"/>
      <c r="AL908" s="129"/>
      <c r="AM908" s="129"/>
    </row>
    <row r="909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  <c r="AH909" s="129"/>
      <c r="AI909" s="129"/>
      <c r="AJ909" s="129"/>
      <c r="AK909" s="129"/>
      <c r="AL909" s="129"/>
      <c r="AM909" s="129"/>
    </row>
    <row r="910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  <c r="AH910" s="129"/>
      <c r="AI910" s="129"/>
      <c r="AJ910" s="129"/>
      <c r="AK910" s="129"/>
      <c r="AL910" s="129"/>
      <c r="AM910" s="129"/>
    </row>
    <row r="91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  <c r="AH911" s="129"/>
      <c r="AI911" s="129"/>
      <c r="AJ911" s="129"/>
      <c r="AK911" s="129"/>
      <c r="AL911" s="129"/>
      <c r="AM911" s="129"/>
    </row>
    <row r="912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  <c r="AH912" s="129"/>
      <c r="AI912" s="129"/>
      <c r="AJ912" s="129"/>
      <c r="AK912" s="129"/>
      <c r="AL912" s="129"/>
      <c r="AM912" s="129"/>
    </row>
    <row r="913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  <c r="AH913" s="129"/>
      <c r="AI913" s="129"/>
      <c r="AJ913" s="129"/>
      <c r="AK913" s="129"/>
      <c r="AL913" s="129"/>
      <c r="AM913" s="129"/>
    </row>
    <row r="91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  <c r="AH914" s="129"/>
      <c r="AI914" s="129"/>
      <c r="AJ914" s="129"/>
      <c r="AK914" s="129"/>
      <c r="AL914" s="129"/>
      <c r="AM914" s="129"/>
    </row>
    <row r="915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  <c r="AH915" s="129"/>
      <c r="AI915" s="129"/>
      <c r="AJ915" s="129"/>
      <c r="AK915" s="129"/>
      <c r="AL915" s="129"/>
      <c r="AM915" s="129"/>
    </row>
    <row r="916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  <c r="AH916" s="129"/>
      <c r="AI916" s="129"/>
      <c r="AJ916" s="129"/>
      <c r="AK916" s="129"/>
      <c r="AL916" s="129"/>
      <c r="AM916" s="129"/>
    </row>
    <row r="917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  <c r="AH917" s="129"/>
      <c r="AI917" s="129"/>
      <c r="AJ917" s="129"/>
      <c r="AK917" s="129"/>
      <c r="AL917" s="129"/>
      <c r="AM917" s="129"/>
    </row>
    <row r="918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  <c r="AH918" s="129"/>
      <c r="AI918" s="129"/>
      <c r="AJ918" s="129"/>
      <c r="AK918" s="129"/>
      <c r="AL918" s="129"/>
      <c r="AM918" s="129"/>
    </row>
    <row r="919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  <c r="AH919" s="129"/>
      <c r="AI919" s="129"/>
      <c r="AJ919" s="129"/>
      <c r="AK919" s="129"/>
      <c r="AL919" s="129"/>
      <c r="AM919" s="129"/>
    </row>
    <row r="920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  <c r="AH920" s="129"/>
      <c r="AI920" s="129"/>
      <c r="AJ920" s="129"/>
      <c r="AK920" s="129"/>
      <c r="AL920" s="129"/>
      <c r="AM920" s="129"/>
    </row>
    <row r="92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  <c r="AH921" s="129"/>
      <c r="AI921" s="129"/>
      <c r="AJ921" s="129"/>
      <c r="AK921" s="129"/>
      <c r="AL921" s="129"/>
      <c r="AM921" s="129"/>
    </row>
    <row r="922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  <c r="AH922" s="129"/>
      <c r="AI922" s="129"/>
      <c r="AJ922" s="129"/>
      <c r="AK922" s="129"/>
      <c r="AL922" s="129"/>
      <c r="AM922" s="129"/>
    </row>
    <row r="923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  <c r="AH923" s="129"/>
      <c r="AI923" s="129"/>
      <c r="AJ923" s="129"/>
      <c r="AK923" s="129"/>
      <c r="AL923" s="129"/>
      <c r="AM923" s="129"/>
    </row>
    <row r="92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  <c r="AH924" s="129"/>
      <c r="AI924" s="129"/>
      <c r="AJ924" s="129"/>
      <c r="AK924" s="129"/>
      <c r="AL924" s="129"/>
      <c r="AM924" s="129"/>
    </row>
    <row r="925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  <c r="AH925" s="129"/>
      <c r="AI925" s="129"/>
      <c r="AJ925" s="129"/>
      <c r="AK925" s="129"/>
      <c r="AL925" s="129"/>
      <c r="AM925" s="129"/>
    </row>
    <row r="926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  <c r="AH926" s="129"/>
      <c r="AI926" s="129"/>
      <c r="AJ926" s="129"/>
      <c r="AK926" s="129"/>
      <c r="AL926" s="129"/>
      <c r="AM926" s="129"/>
    </row>
    <row r="927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  <c r="AH927" s="129"/>
      <c r="AI927" s="129"/>
      <c r="AJ927" s="129"/>
      <c r="AK927" s="129"/>
      <c r="AL927" s="129"/>
      <c r="AM927" s="129"/>
    </row>
    <row r="928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  <c r="AH928" s="129"/>
      <c r="AI928" s="129"/>
      <c r="AJ928" s="129"/>
      <c r="AK928" s="129"/>
      <c r="AL928" s="129"/>
      <c r="AM928" s="129"/>
    </row>
    <row r="929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  <c r="AH929" s="129"/>
      <c r="AI929" s="129"/>
      <c r="AJ929" s="129"/>
      <c r="AK929" s="129"/>
      <c r="AL929" s="129"/>
      <c r="AM929" s="129"/>
    </row>
    <row r="930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  <c r="AH930" s="129"/>
      <c r="AI930" s="129"/>
      <c r="AJ930" s="129"/>
      <c r="AK930" s="129"/>
      <c r="AL930" s="129"/>
      <c r="AM930" s="129"/>
    </row>
    <row r="93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  <c r="AH931" s="129"/>
      <c r="AI931" s="129"/>
      <c r="AJ931" s="129"/>
      <c r="AK931" s="129"/>
      <c r="AL931" s="129"/>
      <c r="AM931" s="129"/>
    </row>
    <row r="932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  <c r="AH932" s="129"/>
      <c r="AI932" s="129"/>
      <c r="AJ932" s="129"/>
      <c r="AK932" s="129"/>
      <c r="AL932" s="129"/>
      <c r="AM932" s="129"/>
    </row>
    <row r="933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  <c r="AH933" s="129"/>
      <c r="AI933" s="129"/>
      <c r="AJ933" s="129"/>
      <c r="AK933" s="129"/>
      <c r="AL933" s="129"/>
      <c r="AM933" s="129"/>
    </row>
    <row r="93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  <c r="AH934" s="129"/>
      <c r="AI934" s="129"/>
      <c r="AJ934" s="129"/>
      <c r="AK934" s="129"/>
      <c r="AL934" s="129"/>
      <c r="AM934" s="129"/>
    </row>
    <row r="935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  <c r="AH935" s="129"/>
      <c r="AI935" s="129"/>
      <c r="AJ935" s="129"/>
      <c r="AK935" s="129"/>
      <c r="AL935" s="129"/>
      <c r="AM935" s="129"/>
    </row>
    <row r="936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  <c r="AH936" s="129"/>
      <c r="AI936" s="129"/>
      <c r="AJ936" s="129"/>
      <c r="AK936" s="129"/>
      <c r="AL936" s="129"/>
      <c r="AM936" s="129"/>
    </row>
    <row r="937">
      <c r="A937" s="129"/>
      <c r="B937" s="129"/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  <c r="AC937" s="129"/>
      <c r="AD937" s="129"/>
      <c r="AE937" s="129"/>
      <c r="AF937" s="129"/>
      <c r="AG937" s="129"/>
      <c r="AH937" s="129"/>
      <c r="AI937" s="129"/>
      <c r="AJ937" s="129"/>
      <c r="AK937" s="129"/>
      <c r="AL937" s="129"/>
      <c r="AM937" s="129"/>
    </row>
    <row r="938">
      <c r="A938" s="129"/>
      <c r="B938" s="129"/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  <c r="AC938" s="129"/>
      <c r="AD938" s="129"/>
      <c r="AE938" s="129"/>
      <c r="AF938" s="129"/>
      <c r="AG938" s="129"/>
      <c r="AH938" s="129"/>
      <c r="AI938" s="129"/>
      <c r="AJ938" s="129"/>
      <c r="AK938" s="129"/>
      <c r="AL938" s="129"/>
      <c r="AM938" s="129"/>
    </row>
    <row r="939">
      <c r="A939" s="129"/>
      <c r="B939" s="129"/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  <c r="AC939" s="129"/>
      <c r="AD939" s="129"/>
      <c r="AE939" s="129"/>
      <c r="AF939" s="129"/>
      <c r="AG939" s="129"/>
      <c r="AH939" s="129"/>
      <c r="AI939" s="129"/>
      <c r="AJ939" s="129"/>
      <c r="AK939" s="129"/>
      <c r="AL939" s="129"/>
      <c r="AM939" s="129"/>
    </row>
    <row r="940">
      <c r="A940" s="129"/>
      <c r="B940" s="129"/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  <c r="AA940" s="129"/>
      <c r="AB940" s="129"/>
      <c r="AC940" s="129"/>
      <c r="AD940" s="129"/>
      <c r="AE940" s="129"/>
      <c r="AF940" s="129"/>
      <c r="AG940" s="129"/>
      <c r="AH940" s="129"/>
      <c r="AI940" s="129"/>
      <c r="AJ940" s="129"/>
      <c r="AK940" s="129"/>
      <c r="AL940" s="129"/>
      <c r="AM940" s="129"/>
    </row>
    <row r="941">
      <c r="A941" s="129"/>
      <c r="B941" s="129"/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  <c r="AA941" s="129"/>
      <c r="AB941" s="129"/>
      <c r="AC941" s="129"/>
      <c r="AD941" s="129"/>
      <c r="AE941" s="129"/>
      <c r="AF941" s="129"/>
      <c r="AG941" s="129"/>
      <c r="AH941" s="129"/>
      <c r="AI941" s="129"/>
      <c r="AJ941" s="129"/>
      <c r="AK941" s="129"/>
      <c r="AL941" s="129"/>
      <c r="AM941" s="129"/>
    </row>
    <row r="942">
      <c r="A942" s="129"/>
      <c r="B942" s="129"/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/>
      <c r="Y942" s="129"/>
      <c r="Z942" s="129"/>
      <c r="AA942" s="129"/>
      <c r="AB942" s="129"/>
      <c r="AC942" s="129"/>
      <c r="AD942" s="129"/>
      <c r="AE942" s="129"/>
      <c r="AF942" s="129"/>
      <c r="AG942" s="129"/>
      <c r="AH942" s="129"/>
      <c r="AI942" s="129"/>
      <c r="AJ942" s="129"/>
      <c r="AK942" s="129"/>
      <c r="AL942" s="129"/>
      <c r="AM942" s="129"/>
    </row>
    <row r="943">
      <c r="A943" s="129"/>
      <c r="B943" s="129"/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  <c r="AA943" s="129"/>
      <c r="AB943" s="129"/>
      <c r="AC943" s="129"/>
      <c r="AD943" s="129"/>
      <c r="AE943" s="129"/>
      <c r="AF943" s="129"/>
      <c r="AG943" s="129"/>
      <c r="AH943" s="129"/>
      <c r="AI943" s="129"/>
      <c r="AJ943" s="129"/>
      <c r="AK943" s="129"/>
      <c r="AL943" s="129"/>
      <c r="AM943" s="129"/>
    </row>
    <row r="944">
      <c r="A944" s="129"/>
      <c r="B944" s="129"/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  <c r="AA944" s="129"/>
      <c r="AB944" s="129"/>
      <c r="AC944" s="129"/>
      <c r="AD944" s="129"/>
      <c r="AE944" s="129"/>
      <c r="AF944" s="129"/>
      <c r="AG944" s="129"/>
      <c r="AH944" s="129"/>
      <c r="AI944" s="129"/>
      <c r="AJ944" s="129"/>
      <c r="AK944" s="129"/>
      <c r="AL944" s="129"/>
      <c r="AM944" s="129"/>
    </row>
    <row r="945">
      <c r="A945" s="129"/>
      <c r="B945" s="129"/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  <c r="AC945" s="129"/>
      <c r="AD945" s="129"/>
      <c r="AE945" s="129"/>
      <c r="AF945" s="129"/>
      <c r="AG945" s="129"/>
      <c r="AH945" s="129"/>
      <c r="AI945" s="129"/>
      <c r="AJ945" s="129"/>
      <c r="AK945" s="129"/>
      <c r="AL945" s="129"/>
      <c r="AM945" s="129"/>
    </row>
    <row r="946">
      <c r="A946" s="129"/>
      <c r="B946" s="129"/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  <c r="AA946" s="129"/>
      <c r="AB946" s="129"/>
      <c r="AC946" s="129"/>
      <c r="AD946" s="129"/>
      <c r="AE946" s="129"/>
      <c r="AF946" s="129"/>
      <c r="AG946" s="129"/>
      <c r="AH946" s="129"/>
      <c r="AI946" s="129"/>
      <c r="AJ946" s="129"/>
      <c r="AK946" s="129"/>
      <c r="AL946" s="129"/>
      <c r="AM946" s="129"/>
    </row>
    <row r="947">
      <c r="A947" s="129"/>
      <c r="B947" s="129"/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  <c r="AA947" s="129"/>
      <c r="AB947" s="129"/>
      <c r="AC947" s="129"/>
      <c r="AD947" s="129"/>
      <c r="AE947" s="129"/>
      <c r="AF947" s="129"/>
      <c r="AG947" s="129"/>
      <c r="AH947" s="129"/>
      <c r="AI947" s="129"/>
      <c r="AJ947" s="129"/>
      <c r="AK947" s="129"/>
      <c r="AL947" s="129"/>
      <c r="AM947" s="129"/>
    </row>
    <row r="948">
      <c r="A948" s="129"/>
      <c r="B948" s="129"/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  <c r="AA948" s="129"/>
      <c r="AB948" s="129"/>
      <c r="AC948" s="129"/>
      <c r="AD948" s="129"/>
      <c r="AE948" s="129"/>
      <c r="AF948" s="129"/>
      <c r="AG948" s="129"/>
      <c r="AH948" s="129"/>
      <c r="AI948" s="129"/>
      <c r="AJ948" s="129"/>
      <c r="AK948" s="129"/>
      <c r="AL948" s="129"/>
      <c r="AM948" s="129"/>
    </row>
    <row r="949">
      <c r="A949" s="129"/>
      <c r="B949" s="129"/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  <c r="AA949" s="129"/>
      <c r="AB949" s="129"/>
      <c r="AC949" s="129"/>
      <c r="AD949" s="129"/>
      <c r="AE949" s="129"/>
      <c r="AF949" s="129"/>
      <c r="AG949" s="129"/>
      <c r="AH949" s="129"/>
      <c r="AI949" s="129"/>
      <c r="AJ949" s="129"/>
      <c r="AK949" s="129"/>
      <c r="AL949" s="129"/>
      <c r="AM949" s="129"/>
    </row>
    <row r="950">
      <c r="A950" s="129"/>
      <c r="B950" s="129"/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  <c r="AA950" s="129"/>
      <c r="AB950" s="129"/>
      <c r="AC950" s="129"/>
      <c r="AD950" s="129"/>
      <c r="AE950" s="129"/>
      <c r="AF950" s="129"/>
      <c r="AG950" s="129"/>
      <c r="AH950" s="129"/>
      <c r="AI950" s="129"/>
      <c r="AJ950" s="129"/>
      <c r="AK950" s="129"/>
      <c r="AL950" s="129"/>
      <c r="AM950" s="129"/>
    </row>
    <row r="951">
      <c r="A951" s="129"/>
      <c r="B951" s="129"/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  <c r="AC951" s="129"/>
      <c r="AD951" s="129"/>
      <c r="AE951" s="129"/>
      <c r="AF951" s="129"/>
      <c r="AG951" s="129"/>
      <c r="AH951" s="129"/>
      <c r="AI951" s="129"/>
      <c r="AJ951" s="129"/>
      <c r="AK951" s="129"/>
      <c r="AL951" s="129"/>
      <c r="AM951" s="129"/>
    </row>
    <row r="952">
      <c r="A952" s="129"/>
      <c r="B952" s="129"/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/>
      <c r="Y952" s="129"/>
      <c r="Z952" s="129"/>
      <c r="AA952" s="129"/>
      <c r="AB952" s="129"/>
      <c r="AC952" s="129"/>
      <c r="AD952" s="129"/>
      <c r="AE952" s="129"/>
      <c r="AF952" s="129"/>
      <c r="AG952" s="129"/>
      <c r="AH952" s="129"/>
      <c r="AI952" s="129"/>
      <c r="AJ952" s="129"/>
      <c r="AK952" s="129"/>
      <c r="AL952" s="129"/>
      <c r="AM952" s="129"/>
    </row>
    <row r="953">
      <c r="A953" s="129"/>
      <c r="B953" s="129"/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  <c r="O953" s="129"/>
      <c r="P953" s="129"/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  <c r="AC953" s="129"/>
      <c r="AD953" s="129"/>
      <c r="AE953" s="129"/>
      <c r="AF953" s="129"/>
      <c r="AG953" s="129"/>
      <c r="AH953" s="129"/>
      <c r="AI953" s="129"/>
      <c r="AJ953" s="129"/>
      <c r="AK953" s="129"/>
      <c r="AL953" s="129"/>
      <c r="AM953" s="129"/>
    </row>
    <row r="954">
      <c r="A954" s="129"/>
      <c r="B954" s="129"/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  <c r="AC954" s="129"/>
      <c r="AD954" s="129"/>
      <c r="AE954" s="129"/>
      <c r="AF954" s="129"/>
      <c r="AG954" s="129"/>
      <c r="AH954" s="129"/>
      <c r="AI954" s="129"/>
      <c r="AJ954" s="129"/>
      <c r="AK954" s="129"/>
      <c r="AL954" s="129"/>
      <c r="AM954" s="129"/>
    </row>
    <row r="955">
      <c r="A955" s="129"/>
      <c r="B955" s="129"/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  <c r="AC955" s="129"/>
      <c r="AD955" s="129"/>
      <c r="AE955" s="129"/>
      <c r="AF955" s="129"/>
      <c r="AG955" s="129"/>
      <c r="AH955" s="129"/>
      <c r="AI955" s="129"/>
      <c r="AJ955" s="129"/>
      <c r="AK955" s="129"/>
      <c r="AL955" s="129"/>
      <c r="AM955" s="129"/>
    </row>
    <row r="956">
      <c r="A956" s="129"/>
      <c r="B956" s="129"/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  <c r="AC956" s="129"/>
      <c r="AD956" s="129"/>
      <c r="AE956" s="129"/>
      <c r="AF956" s="129"/>
      <c r="AG956" s="129"/>
      <c r="AH956" s="129"/>
      <c r="AI956" s="129"/>
      <c r="AJ956" s="129"/>
      <c r="AK956" s="129"/>
      <c r="AL956" s="129"/>
      <c r="AM956" s="129"/>
    </row>
    <row r="957">
      <c r="A957" s="129"/>
      <c r="B957" s="129"/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  <c r="AA957" s="129"/>
      <c r="AB957" s="129"/>
      <c r="AC957" s="129"/>
      <c r="AD957" s="129"/>
      <c r="AE957" s="129"/>
      <c r="AF957" s="129"/>
      <c r="AG957" s="129"/>
      <c r="AH957" s="129"/>
      <c r="AI957" s="129"/>
      <c r="AJ957" s="129"/>
      <c r="AK957" s="129"/>
      <c r="AL957" s="129"/>
      <c r="AM957" s="129"/>
    </row>
    <row r="958">
      <c r="A958" s="129"/>
      <c r="B958" s="129"/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  <c r="AC958" s="129"/>
      <c r="AD958" s="129"/>
      <c r="AE958" s="129"/>
      <c r="AF958" s="129"/>
      <c r="AG958" s="129"/>
      <c r="AH958" s="129"/>
      <c r="AI958" s="129"/>
      <c r="AJ958" s="129"/>
      <c r="AK958" s="129"/>
      <c r="AL958" s="129"/>
      <c r="AM958" s="129"/>
    </row>
    <row r="959">
      <c r="A959" s="129"/>
      <c r="B959" s="129"/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  <c r="AC959" s="129"/>
      <c r="AD959" s="129"/>
      <c r="AE959" s="129"/>
      <c r="AF959" s="129"/>
      <c r="AG959" s="129"/>
      <c r="AH959" s="129"/>
      <c r="AI959" s="129"/>
      <c r="AJ959" s="129"/>
      <c r="AK959" s="129"/>
      <c r="AL959" s="129"/>
      <c r="AM959" s="129"/>
    </row>
    <row r="960">
      <c r="A960" s="129"/>
      <c r="B960" s="129"/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  <c r="AC960" s="129"/>
      <c r="AD960" s="129"/>
      <c r="AE960" s="129"/>
      <c r="AF960" s="129"/>
      <c r="AG960" s="129"/>
      <c r="AH960" s="129"/>
      <c r="AI960" s="129"/>
      <c r="AJ960" s="129"/>
      <c r="AK960" s="129"/>
      <c r="AL960" s="129"/>
      <c r="AM960" s="129"/>
    </row>
    <row r="961">
      <c r="A961" s="129"/>
      <c r="B961" s="129"/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  <c r="AC961" s="129"/>
      <c r="AD961" s="129"/>
      <c r="AE961" s="129"/>
      <c r="AF961" s="129"/>
      <c r="AG961" s="129"/>
      <c r="AH961" s="129"/>
      <c r="AI961" s="129"/>
      <c r="AJ961" s="129"/>
      <c r="AK961" s="129"/>
      <c r="AL961" s="129"/>
      <c r="AM961" s="129"/>
    </row>
    <row r="962">
      <c r="A962" s="129"/>
      <c r="B962" s="129"/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  <c r="AC962" s="129"/>
      <c r="AD962" s="129"/>
      <c r="AE962" s="129"/>
      <c r="AF962" s="129"/>
      <c r="AG962" s="129"/>
      <c r="AH962" s="129"/>
      <c r="AI962" s="129"/>
      <c r="AJ962" s="129"/>
      <c r="AK962" s="129"/>
      <c r="AL962" s="129"/>
      <c r="AM962" s="129"/>
    </row>
    <row r="963">
      <c r="A963" s="129"/>
      <c r="B963" s="129"/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  <c r="AC963" s="129"/>
      <c r="AD963" s="129"/>
      <c r="AE963" s="129"/>
      <c r="AF963" s="129"/>
      <c r="AG963" s="129"/>
      <c r="AH963" s="129"/>
      <c r="AI963" s="129"/>
      <c r="AJ963" s="129"/>
      <c r="AK963" s="129"/>
      <c r="AL963" s="129"/>
      <c r="AM963" s="129"/>
    </row>
    <row r="964">
      <c r="A964" s="129"/>
      <c r="B964" s="129"/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  <c r="AC964" s="129"/>
      <c r="AD964" s="129"/>
      <c r="AE964" s="129"/>
      <c r="AF964" s="129"/>
      <c r="AG964" s="129"/>
      <c r="AH964" s="129"/>
      <c r="AI964" s="129"/>
      <c r="AJ964" s="129"/>
      <c r="AK964" s="129"/>
      <c r="AL964" s="129"/>
      <c r="AM964" s="129"/>
    </row>
    <row r="965">
      <c r="A965" s="129"/>
      <c r="B965" s="129"/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  <c r="AC965" s="129"/>
      <c r="AD965" s="129"/>
      <c r="AE965" s="129"/>
      <c r="AF965" s="129"/>
      <c r="AG965" s="129"/>
      <c r="AH965" s="129"/>
      <c r="AI965" s="129"/>
      <c r="AJ965" s="129"/>
      <c r="AK965" s="129"/>
      <c r="AL965" s="129"/>
      <c r="AM965" s="129"/>
    </row>
    <row r="966">
      <c r="A966" s="129"/>
      <c r="B966" s="129"/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  <c r="AC966" s="129"/>
      <c r="AD966" s="129"/>
      <c r="AE966" s="129"/>
      <c r="AF966" s="129"/>
      <c r="AG966" s="129"/>
      <c r="AH966" s="129"/>
      <c r="AI966" s="129"/>
      <c r="AJ966" s="129"/>
      <c r="AK966" s="129"/>
      <c r="AL966" s="129"/>
      <c r="AM966" s="129"/>
    </row>
    <row r="967">
      <c r="A967" s="129"/>
      <c r="B967" s="129"/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  <c r="AC967" s="129"/>
      <c r="AD967" s="129"/>
      <c r="AE967" s="129"/>
      <c r="AF967" s="129"/>
      <c r="AG967" s="129"/>
      <c r="AH967" s="129"/>
      <c r="AI967" s="129"/>
      <c r="AJ967" s="129"/>
      <c r="AK967" s="129"/>
      <c r="AL967" s="129"/>
      <c r="AM967" s="129"/>
    </row>
    <row r="968">
      <c r="A968" s="129"/>
      <c r="B968" s="129"/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  <c r="AC968" s="129"/>
      <c r="AD968" s="129"/>
      <c r="AE968" s="129"/>
      <c r="AF968" s="129"/>
      <c r="AG968" s="129"/>
      <c r="AH968" s="129"/>
      <c r="AI968" s="129"/>
      <c r="AJ968" s="129"/>
      <c r="AK968" s="129"/>
      <c r="AL968" s="129"/>
      <c r="AM968" s="129"/>
    </row>
    <row r="969">
      <c r="A969" s="129"/>
      <c r="B969" s="129"/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  <c r="AC969" s="129"/>
      <c r="AD969" s="129"/>
      <c r="AE969" s="129"/>
      <c r="AF969" s="129"/>
      <c r="AG969" s="129"/>
      <c r="AH969" s="129"/>
      <c r="AI969" s="129"/>
      <c r="AJ969" s="129"/>
      <c r="AK969" s="129"/>
      <c r="AL969" s="129"/>
      <c r="AM969" s="129"/>
    </row>
    <row r="970">
      <c r="A970" s="129"/>
      <c r="B970" s="129"/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  <c r="AA970" s="129"/>
      <c r="AB970" s="129"/>
      <c r="AC970" s="129"/>
      <c r="AD970" s="129"/>
      <c r="AE970" s="129"/>
      <c r="AF970" s="129"/>
      <c r="AG970" s="129"/>
      <c r="AH970" s="129"/>
      <c r="AI970" s="129"/>
      <c r="AJ970" s="129"/>
      <c r="AK970" s="129"/>
      <c r="AL970" s="129"/>
      <c r="AM970" s="129"/>
    </row>
    <row r="971">
      <c r="A971" s="129"/>
      <c r="B971" s="129"/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  <c r="AA971" s="129"/>
      <c r="AB971" s="129"/>
      <c r="AC971" s="129"/>
      <c r="AD971" s="129"/>
      <c r="AE971" s="129"/>
      <c r="AF971" s="129"/>
      <c r="AG971" s="129"/>
      <c r="AH971" s="129"/>
      <c r="AI971" s="129"/>
      <c r="AJ971" s="129"/>
      <c r="AK971" s="129"/>
      <c r="AL971" s="129"/>
      <c r="AM971" s="129"/>
    </row>
    <row r="972">
      <c r="A972" s="129"/>
      <c r="B972" s="129"/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  <c r="AC972" s="129"/>
      <c r="AD972" s="129"/>
      <c r="AE972" s="129"/>
      <c r="AF972" s="129"/>
      <c r="AG972" s="129"/>
      <c r="AH972" s="129"/>
      <c r="AI972" s="129"/>
      <c r="AJ972" s="129"/>
      <c r="AK972" s="129"/>
      <c r="AL972" s="129"/>
      <c r="AM972" s="129"/>
    </row>
    <row r="973">
      <c r="A973" s="129"/>
      <c r="B973" s="129"/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  <c r="AC973" s="129"/>
      <c r="AD973" s="129"/>
      <c r="AE973" s="129"/>
      <c r="AF973" s="129"/>
      <c r="AG973" s="129"/>
      <c r="AH973" s="129"/>
      <c r="AI973" s="129"/>
      <c r="AJ973" s="129"/>
      <c r="AK973" s="129"/>
      <c r="AL973" s="129"/>
      <c r="AM973" s="129"/>
    </row>
    <row r="974">
      <c r="A974" s="129"/>
      <c r="B974" s="129"/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  <c r="O974" s="129"/>
      <c r="P974" s="129"/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  <c r="AC974" s="129"/>
      <c r="AD974" s="129"/>
      <c r="AE974" s="129"/>
      <c r="AF974" s="129"/>
      <c r="AG974" s="129"/>
      <c r="AH974" s="129"/>
      <c r="AI974" s="129"/>
      <c r="AJ974" s="129"/>
      <c r="AK974" s="129"/>
      <c r="AL974" s="129"/>
      <c r="AM974" s="129"/>
    </row>
    <row r="975">
      <c r="A975" s="129"/>
      <c r="B975" s="129"/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  <c r="AC975" s="129"/>
      <c r="AD975" s="129"/>
      <c r="AE975" s="129"/>
      <c r="AF975" s="129"/>
      <c r="AG975" s="129"/>
      <c r="AH975" s="129"/>
      <c r="AI975" s="129"/>
      <c r="AJ975" s="129"/>
      <c r="AK975" s="129"/>
      <c r="AL975" s="129"/>
      <c r="AM975" s="129"/>
    </row>
    <row r="976">
      <c r="A976" s="129"/>
      <c r="B976" s="129"/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/>
      <c r="V976" s="129"/>
      <c r="W976" s="129"/>
      <c r="X976" s="129"/>
      <c r="Y976" s="129"/>
      <c r="Z976" s="129"/>
      <c r="AA976" s="129"/>
      <c r="AB976" s="129"/>
      <c r="AC976" s="129"/>
      <c r="AD976" s="129"/>
      <c r="AE976" s="129"/>
      <c r="AF976" s="129"/>
      <c r="AG976" s="129"/>
      <c r="AH976" s="129"/>
      <c r="AI976" s="129"/>
      <c r="AJ976" s="129"/>
      <c r="AK976" s="129"/>
      <c r="AL976" s="129"/>
      <c r="AM976" s="129"/>
    </row>
    <row r="977">
      <c r="A977" s="129"/>
      <c r="B977" s="129"/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  <c r="AC977" s="129"/>
      <c r="AD977" s="129"/>
      <c r="AE977" s="129"/>
      <c r="AF977" s="129"/>
      <c r="AG977" s="129"/>
      <c r="AH977" s="129"/>
      <c r="AI977" s="129"/>
      <c r="AJ977" s="129"/>
      <c r="AK977" s="129"/>
      <c r="AL977" s="129"/>
      <c r="AM977" s="129"/>
    </row>
    <row r="978">
      <c r="A978" s="129"/>
      <c r="B978" s="129"/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  <c r="AC978" s="129"/>
      <c r="AD978" s="129"/>
      <c r="AE978" s="129"/>
      <c r="AF978" s="129"/>
      <c r="AG978" s="129"/>
      <c r="AH978" s="129"/>
      <c r="AI978" s="129"/>
      <c r="AJ978" s="129"/>
      <c r="AK978" s="129"/>
      <c r="AL978" s="129"/>
      <c r="AM978" s="129"/>
    </row>
    <row r="979">
      <c r="A979" s="129"/>
      <c r="B979" s="129"/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  <c r="AC979" s="129"/>
      <c r="AD979" s="129"/>
      <c r="AE979" s="129"/>
      <c r="AF979" s="129"/>
      <c r="AG979" s="129"/>
      <c r="AH979" s="129"/>
      <c r="AI979" s="129"/>
      <c r="AJ979" s="129"/>
      <c r="AK979" s="129"/>
      <c r="AL979" s="129"/>
      <c r="AM979" s="129"/>
    </row>
    <row r="980">
      <c r="A980" s="129"/>
      <c r="B980" s="129"/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  <c r="AC980" s="129"/>
      <c r="AD980" s="129"/>
      <c r="AE980" s="129"/>
      <c r="AF980" s="129"/>
      <c r="AG980" s="129"/>
      <c r="AH980" s="129"/>
      <c r="AI980" s="129"/>
      <c r="AJ980" s="129"/>
      <c r="AK980" s="129"/>
      <c r="AL980" s="129"/>
      <c r="AM980" s="129"/>
    </row>
    <row r="981">
      <c r="A981" s="129"/>
      <c r="B981" s="129"/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/>
      <c r="U981" s="129"/>
      <c r="V981" s="129"/>
      <c r="W981" s="129"/>
      <c r="X981" s="129"/>
      <c r="Y981" s="129"/>
      <c r="Z981" s="129"/>
      <c r="AA981" s="129"/>
      <c r="AB981" s="129"/>
      <c r="AC981" s="129"/>
      <c r="AD981" s="129"/>
      <c r="AE981" s="129"/>
      <c r="AF981" s="129"/>
      <c r="AG981" s="129"/>
      <c r="AH981" s="129"/>
      <c r="AI981" s="129"/>
      <c r="AJ981" s="129"/>
      <c r="AK981" s="129"/>
      <c r="AL981" s="129"/>
      <c r="AM981" s="129"/>
    </row>
    <row r="982">
      <c r="A982" s="129"/>
      <c r="B982" s="129"/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  <c r="AC982" s="129"/>
      <c r="AD982" s="129"/>
      <c r="AE982" s="129"/>
      <c r="AF982" s="129"/>
      <c r="AG982" s="129"/>
      <c r="AH982" s="129"/>
      <c r="AI982" s="129"/>
      <c r="AJ982" s="129"/>
      <c r="AK982" s="129"/>
      <c r="AL982" s="129"/>
      <c r="AM982" s="129"/>
    </row>
    <row r="983">
      <c r="A983" s="129"/>
      <c r="B983" s="129"/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  <c r="AC983" s="129"/>
      <c r="AD983" s="129"/>
      <c r="AE983" s="129"/>
      <c r="AF983" s="129"/>
      <c r="AG983" s="129"/>
      <c r="AH983" s="129"/>
      <c r="AI983" s="129"/>
      <c r="AJ983" s="129"/>
      <c r="AK983" s="129"/>
      <c r="AL983" s="129"/>
      <c r="AM983" s="129"/>
    </row>
    <row r="984">
      <c r="A984" s="129"/>
      <c r="B984" s="129"/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  <c r="AC984" s="129"/>
      <c r="AD984" s="129"/>
      <c r="AE984" s="129"/>
      <c r="AF984" s="129"/>
      <c r="AG984" s="129"/>
      <c r="AH984" s="129"/>
      <c r="AI984" s="129"/>
      <c r="AJ984" s="129"/>
      <c r="AK984" s="129"/>
      <c r="AL984" s="129"/>
      <c r="AM984" s="129"/>
    </row>
    <row r="985">
      <c r="A985" s="129"/>
      <c r="B985" s="129"/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  <c r="AA985" s="129"/>
      <c r="AB985" s="129"/>
      <c r="AC985" s="129"/>
      <c r="AD985" s="129"/>
      <c r="AE985" s="129"/>
      <c r="AF985" s="129"/>
      <c r="AG985" s="129"/>
      <c r="AH985" s="129"/>
      <c r="AI985" s="129"/>
      <c r="AJ985" s="129"/>
      <c r="AK985" s="129"/>
      <c r="AL985" s="129"/>
      <c r="AM985" s="129"/>
    </row>
    <row r="986">
      <c r="A986" s="129"/>
      <c r="B986" s="129"/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  <c r="AA986" s="129"/>
      <c r="AB986" s="129"/>
      <c r="AC986" s="129"/>
      <c r="AD986" s="129"/>
      <c r="AE986" s="129"/>
      <c r="AF986" s="129"/>
      <c r="AG986" s="129"/>
      <c r="AH986" s="129"/>
      <c r="AI986" s="129"/>
      <c r="AJ986" s="129"/>
      <c r="AK986" s="129"/>
      <c r="AL986" s="129"/>
      <c r="AM986" s="129"/>
    </row>
    <row r="987">
      <c r="A987" s="129"/>
      <c r="B987" s="129"/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  <c r="AC987" s="129"/>
      <c r="AD987" s="129"/>
      <c r="AE987" s="129"/>
      <c r="AF987" s="129"/>
      <c r="AG987" s="129"/>
      <c r="AH987" s="129"/>
      <c r="AI987" s="129"/>
      <c r="AJ987" s="129"/>
      <c r="AK987" s="129"/>
      <c r="AL987" s="129"/>
      <c r="AM987" s="129"/>
    </row>
    <row r="988">
      <c r="A988" s="129"/>
      <c r="B988" s="129"/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  <c r="AA988" s="129"/>
      <c r="AB988" s="129"/>
      <c r="AC988" s="129"/>
      <c r="AD988" s="129"/>
      <c r="AE988" s="129"/>
      <c r="AF988" s="129"/>
      <c r="AG988" s="129"/>
      <c r="AH988" s="129"/>
      <c r="AI988" s="129"/>
      <c r="AJ988" s="129"/>
      <c r="AK988" s="129"/>
      <c r="AL988" s="129"/>
      <c r="AM988" s="129"/>
    </row>
    <row r="989">
      <c r="A989" s="129"/>
      <c r="B989" s="129"/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  <c r="AC989" s="129"/>
      <c r="AD989" s="129"/>
      <c r="AE989" s="129"/>
      <c r="AF989" s="129"/>
      <c r="AG989" s="129"/>
      <c r="AH989" s="129"/>
      <c r="AI989" s="129"/>
      <c r="AJ989" s="129"/>
      <c r="AK989" s="129"/>
      <c r="AL989" s="129"/>
      <c r="AM989" s="129"/>
    </row>
    <row r="990">
      <c r="A990" s="129"/>
      <c r="B990" s="129"/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  <c r="AC990" s="129"/>
      <c r="AD990" s="129"/>
      <c r="AE990" s="129"/>
      <c r="AF990" s="129"/>
      <c r="AG990" s="129"/>
      <c r="AH990" s="129"/>
      <c r="AI990" s="129"/>
      <c r="AJ990" s="129"/>
      <c r="AK990" s="129"/>
      <c r="AL990" s="129"/>
      <c r="AM990" s="129"/>
    </row>
    <row r="991">
      <c r="A991" s="129"/>
      <c r="B991" s="129"/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  <c r="AC991" s="129"/>
      <c r="AD991" s="129"/>
      <c r="AE991" s="129"/>
      <c r="AF991" s="129"/>
      <c r="AG991" s="129"/>
      <c r="AH991" s="129"/>
      <c r="AI991" s="129"/>
      <c r="AJ991" s="129"/>
      <c r="AK991" s="129"/>
      <c r="AL991" s="129"/>
      <c r="AM991" s="129"/>
    </row>
    <row r="992">
      <c r="A992" s="129"/>
      <c r="B992" s="129"/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  <c r="AC992" s="129"/>
      <c r="AD992" s="129"/>
      <c r="AE992" s="129"/>
      <c r="AF992" s="129"/>
      <c r="AG992" s="129"/>
      <c r="AH992" s="129"/>
      <c r="AI992" s="129"/>
      <c r="AJ992" s="129"/>
      <c r="AK992" s="129"/>
      <c r="AL992" s="129"/>
      <c r="AM992" s="129"/>
    </row>
    <row r="993">
      <c r="A993" s="129"/>
      <c r="B993" s="129"/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  <c r="AC993" s="129"/>
      <c r="AD993" s="129"/>
      <c r="AE993" s="129"/>
      <c r="AF993" s="129"/>
      <c r="AG993" s="129"/>
      <c r="AH993" s="129"/>
      <c r="AI993" s="129"/>
      <c r="AJ993" s="129"/>
      <c r="AK993" s="129"/>
      <c r="AL993" s="129"/>
      <c r="AM993" s="129"/>
    </row>
    <row r="994">
      <c r="A994" s="129"/>
      <c r="B994" s="129"/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  <c r="AC994" s="129"/>
      <c r="AD994" s="129"/>
      <c r="AE994" s="129"/>
      <c r="AF994" s="129"/>
      <c r="AG994" s="129"/>
      <c r="AH994" s="129"/>
      <c r="AI994" s="129"/>
      <c r="AJ994" s="129"/>
      <c r="AK994" s="129"/>
      <c r="AL994" s="129"/>
      <c r="AM994" s="129"/>
    </row>
    <row r="995">
      <c r="A995" s="129"/>
      <c r="B995" s="129"/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  <c r="AC995" s="129"/>
      <c r="AD995" s="129"/>
      <c r="AE995" s="129"/>
      <c r="AF995" s="129"/>
      <c r="AG995" s="129"/>
      <c r="AH995" s="129"/>
      <c r="AI995" s="129"/>
      <c r="AJ995" s="129"/>
      <c r="AK995" s="129"/>
      <c r="AL995" s="129"/>
      <c r="AM995" s="129"/>
    </row>
    <row r="996">
      <c r="A996" s="129"/>
      <c r="B996" s="129"/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  <c r="AC996" s="129"/>
      <c r="AD996" s="129"/>
      <c r="AE996" s="129"/>
      <c r="AF996" s="129"/>
      <c r="AG996" s="129"/>
      <c r="AH996" s="129"/>
      <c r="AI996" s="129"/>
      <c r="AJ996" s="129"/>
      <c r="AK996" s="129"/>
      <c r="AL996" s="129"/>
      <c r="AM996" s="129"/>
    </row>
    <row r="997">
      <c r="A997" s="129"/>
      <c r="B997" s="129"/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  <c r="AC997" s="129"/>
      <c r="AD997" s="129"/>
      <c r="AE997" s="129"/>
      <c r="AF997" s="129"/>
      <c r="AG997" s="129"/>
      <c r="AH997" s="129"/>
      <c r="AI997" s="129"/>
      <c r="AJ997" s="129"/>
      <c r="AK997" s="129"/>
      <c r="AL997" s="129"/>
      <c r="AM997" s="129"/>
    </row>
    <row r="998">
      <c r="A998" s="129"/>
      <c r="B998" s="129"/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  <c r="AC998" s="129"/>
      <c r="AD998" s="129"/>
      <c r="AE998" s="129"/>
      <c r="AF998" s="129"/>
      <c r="AG998" s="129"/>
      <c r="AH998" s="129"/>
      <c r="AI998" s="129"/>
      <c r="AJ998" s="129"/>
      <c r="AK998" s="129"/>
      <c r="AL998" s="129"/>
      <c r="AM998" s="129"/>
    </row>
    <row r="999">
      <c r="A999" s="129"/>
      <c r="B999" s="129"/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  <c r="AC999" s="129"/>
      <c r="AD999" s="129"/>
      <c r="AE999" s="129"/>
      <c r="AF999" s="129"/>
      <c r="AG999" s="129"/>
      <c r="AH999" s="129"/>
      <c r="AI999" s="129"/>
      <c r="AJ999" s="129"/>
      <c r="AK999" s="129"/>
      <c r="AL999" s="129"/>
      <c r="AM999" s="129"/>
    </row>
    <row r="1000">
      <c r="A1000" s="129"/>
      <c r="B1000" s="129"/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  <c r="AC1000" s="129"/>
      <c r="AD1000" s="129"/>
      <c r="AE1000" s="129"/>
      <c r="AF1000" s="129"/>
      <c r="AG1000" s="129"/>
      <c r="AH1000" s="129"/>
      <c r="AI1000" s="129"/>
      <c r="AJ1000" s="129"/>
      <c r="AK1000" s="129"/>
      <c r="AL1000" s="129"/>
      <c r="AM1000" s="129"/>
    </row>
  </sheetData>
  <mergeCells count="52">
    <mergeCell ref="N9:N10"/>
    <mergeCell ref="O9:O10"/>
    <mergeCell ref="P9:P10"/>
    <mergeCell ref="Q9:Q10"/>
    <mergeCell ref="R9:R10"/>
    <mergeCell ref="S9:S10"/>
    <mergeCell ref="T9:T10"/>
    <mergeCell ref="U9:U10"/>
    <mergeCell ref="K8:Q8"/>
    <mergeCell ref="R8:U8"/>
    <mergeCell ref="A9:A10"/>
    <mergeCell ref="B9:B10"/>
    <mergeCell ref="C9:C10"/>
    <mergeCell ref="D9:D10"/>
    <mergeCell ref="E9:E10"/>
    <mergeCell ref="AH9:AH10"/>
    <mergeCell ref="AI9:AI10"/>
    <mergeCell ref="AA9:AA10"/>
    <mergeCell ref="AB9:AB10"/>
    <mergeCell ref="AC9:AC10"/>
    <mergeCell ref="AD9:AD10"/>
    <mergeCell ref="AE9:AE10"/>
    <mergeCell ref="AF9:AF10"/>
    <mergeCell ref="AG9:AG10"/>
    <mergeCell ref="V8:AA8"/>
    <mergeCell ref="AB8:AE8"/>
    <mergeCell ref="AF8:AI8"/>
    <mergeCell ref="AK8:AM8"/>
    <mergeCell ref="AJ9:AJ10"/>
    <mergeCell ref="AK9:AK10"/>
    <mergeCell ref="AL9:AL10"/>
    <mergeCell ref="AM9:AM10"/>
    <mergeCell ref="A1:AM1"/>
    <mergeCell ref="B2:F2"/>
    <mergeCell ref="H2:L2"/>
    <mergeCell ref="N2:Q2"/>
    <mergeCell ref="A3:AM3"/>
    <mergeCell ref="A8:E8"/>
    <mergeCell ref="F8:J8"/>
    <mergeCell ref="F9:F10"/>
    <mergeCell ref="G9:G10"/>
    <mergeCell ref="H9:H10"/>
    <mergeCell ref="I9:I10"/>
    <mergeCell ref="J9:J10"/>
    <mergeCell ref="K9:K10"/>
    <mergeCell ref="L9:L10"/>
    <mergeCell ref="M9:M10"/>
    <mergeCell ref="V9:V10"/>
    <mergeCell ref="W9:W10"/>
    <mergeCell ref="X9:X10"/>
    <mergeCell ref="Y9:Y10"/>
    <mergeCell ref="Z9:Z10"/>
  </mergeCells>
  <printOptions/>
  <pageMargins bottom="0.75" footer="0.0" header="0.0" left="0.7" right="0.7" top="0.7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2026-09-06T18:58:23Z</dcterms:created>
</cp:coreProperties>
</file>